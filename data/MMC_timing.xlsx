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abbarz\Desktop\plan PhD\augest\Nouveau dossier\LAST\"/>
    </mc:Choice>
  </mc:AlternateContent>
  <xr:revisionPtr revIDLastSave="0" documentId="8_{F8E3F84B-B6E6-4609-AACA-E369DD06EA7F}" xr6:coauthVersionLast="36" xr6:coauthVersionMax="36" xr10:uidLastSave="{00000000-0000-0000-0000-000000000000}"/>
  <bookViews>
    <workbookView xWindow="0" yWindow="0" windowWidth="14380" windowHeight="4880" tabRatio="500" firstSheet="2" activeTab="2" xr2:uid="{00000000-000D-0000-FFFF-FFFF00000000}"/>
  </bookViews>
  <sheets>
    <sheet name="README" sheetId="1" r:id="rId1"/>
    <sheet name="Parameters" sheetId="2" r:id="rId2"/>
    <sheet name="§2 Cost models" sheetId="3" r:id="rId3"/>
    <sheet name="§2.5 Budget method" sheetId="4" r:id="rId4"/>
    <sheet name="§3 Case A" sheetId="5" r:id="rId5"/>
    <sheet name="§4 Case B" sheetId="6" r:id="rId6"/>
    <sheet name="§5 Case C" sheetId="7" r:id="rId7"/>
    <sheet name="§6 Scaling laws" sheetId="8" r:id="rId8"/>
    <sheet name="§7 Scheduling" sheetId="9" r:id="rId9"/>
    <sheet name="§8 Comparative" sheetId="10" r:id="rId10"/>
    <sheet name="§9 Harmonics" sheetId="11" r:id="rId1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11" l="1"/>
  <c r="F22" i="11"/>
  <c r="E21" i="11"/>
  <c r="E20" i="11"/>
  <c r="E19" i="11"/>
  <c r="E17" i="11"/>
  <c r="F17" i="11" s="1"/>
  <c r="B17" i="11"/>
  <c r="D17" i="11" s="1"/>
  <c r="E16" i="11"/>
  <c r="F16" i="11" s="1"/>
  <c r="C16" i="11"/>
  <c r="B16" i="11"/>
  <c r="D16" i="11" s="1"/>
  <c r="E15" i="11"/>
  <c r="F15" i="11" s="1"/>
  <c r="D15" i="11"/>
  <c r="C15" i="11"/>
  <c r="B15" i="11"/>
  <c r="E14" i="11"/>
  <c r="F14" i="11" s="1"/>
  <c r="B14" i="11"/>
  <c r="D14" i="11" s="1"/>
  <c r="F13" i="11"/>
  <c r="E13" i="11"/>
  <c r="D13" i="11"/>
  <c r="B13" i="11"/>
  <c r="C13" i="11" s="1"/>
  <c r="E12" i="11"/>
  <c r="F12" i="11" s="1"/>
  <c r="D12" i="11"/>
  <c r="B12" i="11"/>
  <c r="C12" i="11" s="1"/>
  <c r="E11" i="11"/>
  <c r="F11" i="11" s="1"/>
  <c r="B11" i="11"/>
  <c r="D11" i="11" s="1"/>
  <c r="E10" i="11"/>
  <c r="F10" i="11" s="1"/>
  <c r="B10" i="11"/>
  <c r="D10" i="11" s="1"/>
  <c r="E9" i="11"/>
  <c r="F9" i="11" s="1"/>
  <c r="B9" i="11"/>
  <c r="D9" i="11" s="1"/>
  <c r="E8" i="11"/>
  <c r="F8" i="11" s="1"/>
  <c r="D8" i="11"/>
  <c r="C8" i="11"/>
  <c r="B8" i="11"/>
  <c r="F7" i="11"/>
  <c r="E7" i="11"/>
  <c r="B7" i="11"/>
  <c r="D7" i="11" s="1"/>
  <c r="F6" i="11"/>
  <c r="E6" i="11"/>
  <c r="B6" i="11"/>
  <c r="D6" i="11" s="1"/>
  <c r="E5" i="11"/>
  <c r="F5" i="11" s="1"/>
  <c r="D5" i="11"/>
  <c r="B5" i="11"/>
  <c r="C5" i="11" s="1"/>
  <c r="B25" i="9"/>
  <c r="C13" i="9"/>
  <c r="C12" i="9"/>
  <c r="C11" i="9"/>
  <c r="B8" i="9"/>
  <c r="B7" i="9"/>
  <c r="B6" i="9"/>
  <c r="B5" i="9"/>
  <c r="D57" i="8"/>
  <c r="C55" i="8"/>
  <c r="B55" i="8"/>
  <c r="D54" i="8"/>
  <c r="B54" i="8"/>
  <c r="D53" i="8"/>
  <c r="B53" i="8"/>
  <c r="D52" i="8"/>
  <c r="C52" i="8"/>
  <c r="B52" i="8"/>
  <c r="M47" i="8"/>
  <c r="L47" i="8"/>
  <c r="K47" i="8"/>
  <c r="J47" i="8"/>
  <c r="I47" i="8"/>
  <c r="H47" i="8"/>
  <c r="G47" i="8"/>
  <c r="F47" i="8"/>
  <c r="E47" i="8"/>
  <c r="D47" i="8"/>
  <c r="C47" i="8"/>
  <c r="B47" i="8"/>
  <c r="M46" i="8"/>
  <c r="L46" i="8"/>
  <c r="K46" i="8"/>
  <c r="J46" i="8"/>
  <c r="I46" i="8"/>
  <c r="H46" i="8"/>
  <c r="G46" i="8"/>
  <c r="F46" i="8"/>
  <c r="E46" i="8"/>
  <c r="D46" i="8"/>
  <c r="C46" i="8"/>
  <c r="B46" i="8"/>
  <c r="M45" i="8"/>
  <c r="L45" i="8"/>
  <c r="K45" i="8"/>
  <c r="J45" i="8"/>
  <c r="I45" i="8"/>
  <c r="H45" i="8"/>
  <c r="G45" i="8"/>
  <c r="F45" i="8"/>
  <c r="E45" i="8"/>
  <c r="D45" i="8"/>
  <c r="C45" i="8"/>
  <c r="B45" i="8"/>
  <c r="M44" i="8"/>
  <c r="L44" i="8"/>
  <c r="K44" i="8"/>
  <c r="J44" i="8"/>
  <c r="I44" i="8"/>
  <c r="H44" i="8"/>
  <c r="G44" i="8"/>
  <c r="F44" i="8"/>
  <c r="E44" i="8"/>
  <c r="D44" i="8"/>
  <c r="C44" i="8"/>
  <c r="B44" i="8"/>
  <c r="M43" i="8"/>
  <c r="L43" i="8"/>
  <c r="K43" i="8"/>
  <c r="J43" i="8"/>
  <c r="I43" i="8"/>
  <c r="H43" i="8"/>
  <c r="G43" i="8"/>
  <c r="F43" i="8"/>
  <c r="E43" i="8"/>
  <c r="D43" i="8"/>
  <c r="C43" i="8"/>
  <c r="B43" i="8"/>
  <c r="M42" i="8"/>
  <c r="L42" i="8"/>
  <c r="K42" i="8"/>
  <c r="J42" i="8"/>
  <c r="I42" i="8"/>
  <c r="H42" i="8"/>
  <c r="G42" i="8"/>
  <c r="F42" i="8"/>
  <c r="E42" i="8"/>
  <c r="D42" i="8"/>
  <c r="C42" i="8"/>
  <c r="B42" i="8"/>
  <c r="M41" i="8"/>
  <c r="L41" i="8"/>
  <c r="K41" i="8"/>
  <c r="J41" i="8"/>
  <c r="I41" i="8"/>
  <c r="H41" i="8"/>
  <c r="G41" i="8"/>
  <c r="F41" i="8"/>
  <c r="E41" i="8"/>
  <c r="D41" i="8"/>
  <c r="C41" i="8"/>
  <c r="B41" i="8"/>
  <c r="M40" i="8"/>
  <c r="L40" i="8"/>
  <c r="K40" i="8"/>
  <c r="J40" i="8"/>
  <c r="I40" i="8"/>
  <c r="H40" i="8"/>
  <c r="G40" i="8"/>
  <c r="F40" i="8"/>
  <c r="E40" i="8"/>
  <c r="D40" i="8"/>
  <c r="C40" i="8"/>
  <c r="B40" i="8"/>
  <c r="M39" i="8"/>
  <c r="L39" i="8"/>
  <c r="K39" i="8"/>
  <c r="J39" i="8"/>
  <c r="I39" i="8"/>
  <c r="H39" i="8"/>
  <c r="G39" i="8"/>
  <c r="F39" i="8"/>
  <c r="E39" i="8"/>
  <c r="D39" i="8"/>
  <c r="C39" i="8"/>
  <c r="B39" i="8"/>
  <c r="M38" i="8"/>
  <c r="L38" i="8"/>
  <c r="K38" i="8"/>
  <c r="J38" i="8"/>
  <c r="I38" i="8"/>
  <c r="H38" i="8"/>
  <c r="G38" i="8"/>
  <c r="F38" i="8"/>
  <c r="E38" i="8"/>
  <c r="D38" i="8"/>
  <c r="C38" i="8"/>
  <c r="B38" i="8"/>
  <c r="M37" i="8"/>
  <c r="L37" i="8"/>
  <c r="K37" i="8"/>
  <c r="J37" i="8"/>
  <c r="I37" i="8"/>
  <c r="H37" i="8"/>
  <c r="G37" i="8"/>
  <c r="F37" i="8"/>
  <c r="E37" i="8"/>
  <c r="D37" i="8"/>
  <c r="C37" i="8"/>
  <c r="B37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M35" i="8"/>
  <c r="L35" i="8"/>
  <c r="K35" i="8"/>
  <c r="J35" i="8"/>
  <c r="I35" i="8"/>
  <c r="H35" i="8"/>
  <c r="G35" i="8"/>
  <c r="F35" i="8"/>
  <c r="E35" i="8"/>
  <c r="D35" i="8"/>
  <c r="C35" i="8"/>
  <c r="B35" i="8"/>
  <c r="M34" i="8"/>
  <c r="L34" i="8"/>
  <c r="K34" i="8"/>
  <c r="J34" i="8"/>
  <c r="I34" i="8"/>
  <c r="H34" i="8"/>
  <c r="G34" i="8"/>
  <c r="F34" i="8"/>
  <c r="E34" i="8"/>
  <c r="D34" i="8"/>
  <c r="C34" i="8"/>
  <c r="B34" i="8"/>
  <c r="M33" i="8"/>
  <c r="L33" i="8"/>
  <c r="K33" i="8"/>
  <c r="J33" i="8"/>
  <c r="I33" i="8"/>
  <c r="H33" i="8"/>
  <c r="G33" i="8"/>
  <c r="F33" i="8"/>
  <c r="E33" i="8"/>
  <c r="D33" i="8"/>
  <c r="C33" i="8"/>
  <c r="B33" i="8"/>
  <c r="M32" i="8"/>
  <c r="L32" i="8"/>
  <c r="K32" i="8"/>
  <c r="J32" i="8"/>
  <c r="I32" i="8"/>
  <c r="H32" i="8"/>
  <c r="G32" i="8"/>
  <c r="F32" i="8"/>
  <c r="E32" i="8"/>
  <c r="D32" i="8"/>
  <c r="C32" i="8"/>
  <c r="B32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M30" i="8"/>
  <c r="L30" i="8"/>
  <c r="K30" i="8"/>
  <c r="J30" i="8"/>
  <c r="I30" i="8"/>
  <c r="H30" i="8"/>
  <c r="G30" i="8"/>
  <c r="F30" i="8"/>
  <c r="E30" i="8"/>
  <c r="D30" i="8"/>
  <c r="C30" i="8"/>
  <c r="B30" i="8"/>
  <c r="M29" i="8"/>
  <c r="L29" i="8"/>
  <c r="K29" i="8"/>
  <c r="J29" i="8"/>
  <c r="I29" i="8"/>
  <c r="H29" i="8"/>
  <c r="G29" i="8"/>
  <c r="F29" i="8"/>
  <c r="E29" i="8"/>
  <c r="D29" i="8"/>
  <c r="C29" i="8"/>
  <c r="B29" i="8"/>
  <c r="M28" i="8"/>
  <c r="L28" i="8"/>
  <c r="K28" i="8"/>
  <c r="J28" i="8"/>
  <c r="I28" i="8"/>
  <c r="H28" i="8"/>
  <c r="G28" i="8"/>
  <c r="F28" i="8"/>
  <c r="E28" i="8"/>
  <c r="D28" i="8"/>
  <c r="C28" i="8"/>
  <c r="B28" i="8"/>
  <c r="M27" i="8"/>
  <c r="L27" i="8"/>
  <c r="K27" i="8"/>
  <c r="J27" i="8"/>
  <c r="I27" i="8"/>
  <c r="H27" i="8"/>
  <c r="G27" i="8"/>
  <c r="F27" i="8"/>
  <c r="E27" i="8"/>
  <c r="D27" i="8"/>
  <c r="C27" i="8"/>
  <c r="B27" i="8"/>
  <c r="M26" i="8"/>
  <c r="L26" i="8"/>
  <c r="K26" i="8"/>
  <c r="J26" i="8"/>
  <c r="I26" i="8"/>
  <c r="H26" i="8"/>
  <c r="G26" i="8"/>
  <c r="F26" i="8"/>
  <c r="E26" i="8"/>
  <c r="D26" i="8"/>
  <c r="C26" i="8"/>
  <c r="B26" i="8"/>
  <c r="M25" i="8"/>
  <c r="L25" i="8"/>
  <c r="K25" i="8"/>
  <c r="J25" i="8"/>
  <c r="I25" i="8"/>
  <c r="H25" i="8"/>
  <c r="G25" i="8"/>
  <c r="F25" i="8"/>
  <c r="E25" i="8"/>
  <c r="D25" i="8"/>
  <c r="C25" i="8"/>
  <c r="B25" i="8"/>
  <c r="M24" i="8"/>
  <c r="L24" i="8"/>
  <c r="K24" i="8"/>
  <c r="J24" i="8"/>
  <c r="I24" i="8"/>
  <c r="H24" i="8"/>
  <c r="G24" i="8"/>
  <c r="F24" i="8"/>
  <c r="E24" i="8"/>
  <c r="D24" i="8"/>
  <c r="C24" i="8"/>
  <c r="B24" i="8"/>
  <c r="M23" i="8"/>
  <c r="L23" i="8"/>
  <c r="K23" i="8"/>
  <c r="J23" i="8"/>
  <c r="I23" i="8"/>
  <c r="H23" i="8"/>
  <c r="G23" i="8"/>
  <c r="F23" i="8"/>
  <c r="E23" i="8"/>
  <c r="D23" i="8"/>
  <c r="C23" i="8"/>
  <c r="B23" i="8"/>
  <c r="M22" i="8"/>
  <c r="L22" i="8"/>
  <c r="K22" i="8"/>
  <c r="J22" i="8"/>
  <c r="I22" i="8"/>
  <c r="H22" i="8"/>
  <c r="G22" i="8"/>
  <c r="F22" i="8"/>
  <c r="E22" i="8"/>
  <c r="D22" i="8"/>
  <c r="C22" i="8"/>
  <c r="B22" i="8"/>
  <c r="M21" i="8"/>
  <c r="L21" i="8"/>
  <c r="K21" i="8"/>
  <c r="J21" i="8"/>
  <c r="I21" i="8"/>
  <c r="H21" i="8"/>
  <c r="G21" i="8"/>
  <c r="F21" i="8"/>
  <c r="E21" i="8"/>
  <c r="D21" i="8"/>
  <c r="C21" i="8"/>
  <c r="B21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M19" i="8"/>
  <c r="L19" i="8"/>
  <c r="K19" i="8"/>
  <c r="J19" i="8"/>
  <c r="I19" i="8"/>
  <c r="H19" i="8"/>
  <c r="G19" i="8"/>
  <c r="F19" i="8"/>
  <c r="E19" i="8"/>
  <c r="D19" i="8"/>
  <c r="C19" i="8"/>
  <c r="B19" i="8"/>
  <c r="M18" i="8"/>
  <c r="L18" i="8"/>
  <c r="K18" i="8"/>
  <c r="J18" i="8"/>
  <c r="I18" i="8"/>
  <c r="H18" i="8"/>
  <c r="G18" i="8"/>
  <c r="F18" i="8"/>
  <c r="E18" i="8"/>
  <c r="D18" i="8"/>
  <c r="C18" i="8"/>
  <c r="B18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M14" i="8"/>
  <c r="L14" i="8"/>
  <c r="K14" i="8"/>
  <c r="J14" i="8"/>
  <c r="I14" i="8"/>
  <c r="H14" i="8"/>
  <c r="G14" i="8"/>
  <c r="F14" i="8"/>
  <c r="E14" i="8"/>
  <c r="D14" i="8"/>
  <c r="C14" i="8"/>
  <c r="B14" i="8"/>
  <c r="M13" i="8"/>
  <c r="L13" i="8"/>
  <c r="K13" i="8"/>
  <c r="J13" i="8"/>
  <c r="I13" i="8"/>
  <c r="H13" i="8"/>
  <c r="G13" i="8"/>
  <c r="F13" i="8"/>
  <c r="E13" i="8"/>
  <c r="D13" i="8"/>
  <c r="C13" i="8"/>
  <c r="B13" i="8"/>
  <c r="M12" i="8"/>
  <c r="L12" i="8"/>
  <c r="K12" i="8"/>
  <c r="J12" i="8"/>
  <c r="I12" i="8"/>
  <c r="H12" i="8"/>
  <c r="G12" i="8"/>
  <c r="F12" i="8"/>
  <c r="E12" i="8"/>
  <c r="D12" i="8"/>
  <c r="C12" i="8"/>
  <c r="B12" i="8"/>
  <c r="M11" i="8"/>
  <c r="L11" i="8"/>
  <c r="K11" i="8"/>
  <c r="J11" i="8"/>
  <c r="I11" i="8"/>
  <c r="H11" i="8"/>
  <c r="G11" i="8"/>
  <c r="F11" i="8"/>
  <c r="E11" i="8"/>
  <c r="D11" i="8"/>
  <c r="C11" i="8"/>
  <c r="B11" i="8"/>
  <c r="M10" i="8"/>
  <c r="L10" i="8"/>
  <c r="K10" i="8"/>
  <c r="J10" i="8"/>
  <c r="I10" i="8"/>
  <c r="H10" i="8"/>
  <c r="G10" i="8"/>
  <c r="F10" i="8"/>
  <c r="E10" i="8"/>
  <c r="D10" i="8"/>
  <c r="C10" i="8"/>
  <c r="B10" i="8"/>
  <c r="M9" i="8"/>
  <c r="L9" i="8"/>
  <c r="K9" i="8"/>
  <c r="J9" i="8"/>
  <c r="I9" i="8"/>
  <c r="H9" i="8"/>
  <c r="G9" i="8"/>
  <c r="F9" i="8"/>
  <c r="E9" i="8"/>
  <c r="D9" i="8"/>
  <c r="C9" i="8"/>
  <c r="B9" i="8"/>
  <c r="N8" i="8"/>
  <c r="M8" i="8"/>
  <c r="L8" i="8"/>
  <c r="K8" i="8"/>
  <c r="J8" i="8"/>
  <c r="I8" i="8"/>
  <c r="H8" i="8"/>
  <c r="G8" i="8"/>
  <c r="F8" i="8"/>
  <c r="E8" i="8"/>
  <c r="D8" i="8"/>
  <c r="C8" i="8"/>
  <c r="B8" i="8"/>
  <c r="N7" i="8"/>
  <c r="M7" i="8"/>
  <c r="L7" i="8"/>
  <c r="K7" i="8"/>
  <c r="J7" i="8"/>
  <c r="I7" i="8"/>
  <c r="H7" i="8"/>
  <c r="G7" i="8"/>
  <c r="F7" i="8"/>
  <c r="E7" i="8"/>
  <c r="D7" i="8"/>
  <c r="C7" i="8"/>
  <c r="B7" i="8"/>
  <c r="N6" i="8"/>
  <c r="M6" i="8"/>
  <c r="L6" i="8"/>
  <c r="K6" i="8"/>
  <c r="J6" i="8"/>
  <c r="I6" i="8"/>
  <c r="H6" i="8"/>
  <c r="G6" i="8"/>
  <c r="F6" i="8"/>
  <c r="E6" i="8"/>
  <c r="D6" i="8"/>
  <c r="C6" i="8"/>
  <c r="B6" i="8"/>
  <c r="M5" i="8"/>
  <c r="L5" i="8"/>
  <c r="K5" i="8"/>
  <c r="J5" i="8"/>
  <c r="I5" i="8"/>
  <c r="H5" i="8"/>
  <c r="G5" i="8"/>
  <c r="F5" i="8"/>
  <c r="E5" i="8"/>
  <c r="D5" i="8"/>
  <c r="C5" i="8"/>
  <c r="B5" i="8"/>
  <c r="C29" i="7"/>
  <c r="B29" i="7"/>
  <c r="D29" i="7" s="1"/>
  <c r="E29" i="7" s="1"/>
  <c r="F28" i="7"/>
  <c r="C28" i="7"/>
  <c r="B28" i="7"/>
  <c r="D28" i="7" s="1"/>
  <c r="E28" i="7" s="1"/>
  <c r="F27" i="7"/>
  <c r="D27" i="7"/>
  <c r="E27" i="7" s="1"/>
  <c r="C27" i="7"/>
  <c r="B27" i="7"/>
  <c r="C26" i="7"/>
  <c r="B26" i="7"/>
  <c r="D26" i="7" s="1"/>
  <c r="E26" i="7" s="1"/>
  <c r="F25" i="7"/>
  <c r="D25" i="7"/>
  <c r="E25" i="7" s="1"/>
  <c r="C25" i="7"/>
  <c r="B25" i="7"/>
  <c r="F24" i="7"/>
  <c r="C24" i="7"/>
  <c r="B24" i="7"/>
  <c r="D24" i="7" s="1"/>
  <c r="E24" i="7" s="1"/>
  <c r="F23" i="7"/>
  <c r="C23" i="7"/>
  <c r="B23" i="7"/>
  <c r="D23" i="7" s="1"/>
  <c r="E23" i="7" s="1"/>
  <c r="C22" i="7"/>
  <c r="B22" i="7"/>
  <c r="D22" i="7" s="1"/>
  <c r="E22" i="7" s="1"/>
  <c r="F21" i="7"/>
  <c r="C21" i="7"/>
  <c r="B21" i="7"/>
  <c r="D21" i="7" s="1"/>
  <c r="E21" i="7" s="1"/>
  <c r="F20" i="7"/>
  <c r="C20" i="7"/>
  <c r="B20" i="7"/>
  <c r="D20" i="7" s="1"/>
  <c r="E20" i="7" s="1"/>
  <c r="C19" i="7"/>
  <c r="B19" i="7"/>
  <c r="D19" i="7" s="1"/>
  <c r="E19" i="7" s="1"/>
  <c r="F18" i="7"/>
  <c r="C18" i="7"/>
  <c r="B18" i="7"/>
  <c r="D18" i="7" s="1"/>
  <c r="E18" i="7" s="1"/>
  <c r="F17" i="7"/>
  <c r="C17" i="7"/>
  <c r="B17" i="7"/>
  <c r="D17" i="7" s="1"/>
  <c r="E17" i="7" s="1"/>
  <c r="F16" i="7"/>
  <c r="C16" i="7"/>
  <c r="B16" i="7"/>
  <c r="D16" i="7" s="1"/>
  <c r="D9" i="7"/>
  <c r="D11" i="7" s="1"/>
  <c r="E7" i="7"/>
  <c r="C7" i="7"/>
  <c r="B7" i="7"/>
  <c r="D7" i="7" s="1"/>
  <c r="C6" i="7"/>
  <c r="B6" i="7"/>
  <c r="C5" i="7"/>
  <c r="B5" i="7"/>
  <c r="H10" i="6"/>
  <c r="E10" i="6"/>
  <c r="B10" i="6"/>
  <c r="E9" i="6"/>
  <c r="H9" i="6" s="1"/>
  <c r="B9" i="6"/>
  <c r="I8" i="6"/>
  <c r="E8" i="6"/>
  <c r="H8" i="6" s="1"/>
  <c r="C8" i="6"/>
  <c r="B8" i="6"/>
  <c r="D8" i="6" s="1"/>
  <c r="G8" i="6" s="1"/>
  <c r="I7" i="6"/>
  <c r="H7" i="6"/>
  <c r="E7" i="6"/>
  <c r="D7" i="6"/>
  <c r="G7" i="6" s="1"/>
  <c r="C7" i="6"/>
  <c r="B7" i="6"/>
  <c r="I6" i="6"/>
  <c r="L6" i="6" s="1"/>
  <c r="H6" i="6"/>
  <c r="E6" i="6"/>
  <c r="C12" i="10" s="1"/>
  <c r="D6" i="6"/>
  <c r="G6" i="6" s="1"/>
  <c r="B6" i="6"/>
  <c r="C6" i="6" s="1"/>
  <c r="L5" i="6"/>
  <c r="G5" i="6"/>
  <c r="E5" i="6"/>
  <c r="H5" i="6" s="1"/>
  <c r="D5" i="6"/>
  <c r="C5" i="6"/>
  <c r="I5" i="6" s="1"/>
  <c r="J5" i="6" s="1"/>
  <c r="M5" i="6" s="1"/>
  <c r="B5" i="6"/>
  <c r="G59" i="5"/>
  <c r="G55" i="5"/>
  <c r="K47" i="5"/>
  <c r="T47" i="5" s="1"/>
  <c r="J47" i="5"/>
  <c r="I47" i="5"/>
  <c r="G47" i="5"/>
  <c r="E47" i="5"/>
  <c r="D47" i="5"/>
  <c r="C47" i="5"/>
  <c r="B47" i="5"/>
  <c r="F47" i="5" s="1"/>
  <c r="R46" i="5"/>
  <c r="K46" i="5"/>
  <c r="T46" i="5" s="1"/>
  <c r="J46" i="5"/>
  <c r="N46" i="5" s="1"/>
  <c r="I46" i="5"/>
  <c r="E46" i="5"/>
  <c r="H46" i="5" s="1"/>
  <c r="D46" i="5"/>
  <c r="G46" i="5" s="1"/>
  <c r="O46" i="5" s="1"/>
  <c r="C46" i="5"/>
  <c r="U46" i="5" s="1"/>
  <c r="B46" i="5"/>
  <c r="F46" i="5" s="1"/>
  <c r="M46" i="5" s="1"/>
  <c r="U45" i="5"/>
  <c r="M45" i="5"/>
  <c r="R45" i="5" s="1"/>
  <c r="K45" i="5"/>
  <c r="J45" i="5"/>
  <c r="I45" i="5"/>
  <c r="H45" i="5"/>
  <c r="E45" i="5"/>
  <c r="D45" i="5"/>
  <c r="G45" i="5" s="1"/>
  <c r="C45" i="5"/>
  <c r="B45" i="5"/>
  <c r="F45" i="5" s="1"/>
  <c r="J44" i="5"/>
  <c r="I44" i="5"/>
  <c r="G44" i="5"/>
  <c r="E44" i="5"/>
  <c r="H44" i="5" s="1"/>
  <c r="D44" i="5"/>
  <c r="C44" i="5"/>
  <c r="U44" i="5" s="1"/>
  <c r="B44" i="5"/>
  <c r="K44" i="5" s="1"/>
  <c r="L44" i="5" s="1"/>
  <c r="S43" i="5"/>
  <c r="P43" i="5"/>
  <c r="J43" i="5"/>
  <c r="I43" i="5"/>
  <c r="G43" i="5"/>
  <c r="F43" i="5"/>
  <c r="N43" i="5" s="1"/>
  <c r="Q43" i="5" s="1"/>
  <c r="E43" i="5"/>
  <c r="H43" i="5" s="1"/>
  <c r="O43" i="5" s="1"/>
  <c r="D43" i="5"/>
  <c r="C43" i="5"/>
  <c r="B43" i="5"/>
  <c r="K43" i="5" s="1"/>
  <c r="T43" i="5" s="1"/>
  <c r="R42" i="5"/>
  <c r="Q42" i="5"/>
  <c r="O42" i="5"/>
  <c r="N42" i="5"/>
  <c r="S42" i="5" s="1"/>
  <c r="M42" i="5"/>
  <c r="J42" i="5"/>
  <c r="I42" i="5"/>
  <c r="H42" i="5"/>
  <c r="G42" i="5"/>
  <c r="F42" i="5"/>
  <c r="P42" i="5" s="1"/>
  <c r="E42" i="5"/>
  <c r="D42" i="5"/>
  <c r="K42" i="5" s="1"/>
  <c r="C42" i="5"/>
  <c r="U42" i="5" s="1"/>
  <c r="B42" i="5"/>
  <c r="U41" i="5"/>
  <c r="J41" i="5"/>
  <c r="I41" i="5"/>
  <c r="M41" i="5" s="1"/>
  <c r="R41" i="5" s="1"/>
  <c r="F41" i="5"/>
  <c r="E41" i="5"/>
  <c r="H41" i="5" s="1"/>
  <c r="D41" i="5"/>
  <c r="C41" i="5"/>
  <c r="B41" i="5"/>
  <c r="J40" i="5"/>
  <c r="N40" i="5" s="1"/>
  <c r="Q40" i="5" s="1"/>
  <c r="I40" i="5"/>
  <c r="G40" i="5"/>
  <c r="F40" i="5"/>
  <c r="M40" i="5" s="1"/>
  <c r="R40" i="5" s="1"/>
  <c r="E40" i="5"/>
  <c r="D40" i="5"/>
  <c r="C40" i="5"/>
  <c r="B40" i="5"/>
  <c r="R39" i="5"/>
  <c r="Q39" i="5"/>
  <c r="P39" i="5"/>
  <c r="J39" i="5"/>
  <c r="N39" i="5" s="1"/>
  <c r="S39" i="5" s="1"/>
  <c r="I39" i="5"/>
  <c r="G39" i="5"/>
  <c r="E39" i="5"/>
  <c r="D39" i="5"/>
  <c r="C39" i="5"/>
  <c r="B39" i="5"/>
  <c r="F39" i="5" s="1"/>
  <c r="M39" i="5" s="1"/>
  <c r="N38" i="5"/>
  <c r="S38" i="5" s="1"/>
  <c r="M38" i="5"/>
  <c r="R38" i="5" s="1"/>
  <c r="K38" i="5"/>
  <c r="J38" i="5"/>
  <c r="I38" i="5"/>
  <c r="H38" i="5"/>
  <c r="G38" i="5"/>
  <c r="E38" i="5"/>
  <c r="D38" i="5"/>
  <c r="C38" i="5"/>
  <c r="U38" i="5" s="1"/>
  <c r="B38" i="5"/>
  <c r="F38" i="5" s="1"/>
  <c r="J37" i="5"/>
  <c r="I37" i="5"/>
  <c r="M37" i="5" s="1"/>
  <c r="R37" i="5" s="1"/>
  <c r="F37" i="5"/>
  <c r="E37" i="5"/>
  <c r="H37" i="5" s="1"/>
  <c r="D37" i="5"/>
  <c r="G37" i="5" s="1"/>
  <c r="C37" i="5"/>
  <c r="B37" i="5"/>
  <c r="J36" i="5"/>
  <c r="I36" i="5"/>
  <c r="H36" i="5"/>
  <c r="G36" i="5"/>
  <c r="E36" i="5"/>
  <c r="U36" i="5" s="1"/>
  <c r="D36" i="5"/>
  <c r="C36" i="5"/>
  <c r="B36" i="5"/>
  <c r="F36" i="5" s="1"/>
  <c r="Q35" i="5"/>
  <c r="N35" i="5"/>
  <c r="S35" i="5" s="1"/>
  <c r="M35" i="5"/>
  <c r="R35" i="5" s="1"/>
  <c r="K35" i="5"/>
  <c r="T35" i="5" s="1"/>
  <c r="J35" i="5"/>
  <c r="I35" i="5"/>
  <c r="H35" i="5"/>
  <c r="F35" i="5"/>
  <c r="P35" i="5" s="1"/>
  <c r="E35" i="5"/>
  <c r="D35" i="5"/>
  <c r="G35" i="5" s="1"/>
  <c r="O35" i="5" s="1"/>
  <c r="C35" i="5"/>
  <c r="U35" i="5" s="1"/>
  <c r="B35" i="5"/>
  <c r="Q34" i="5"/>
  <c r="N34" i="5"/>
  <c r="S34" i="5" s="1"/>
  <c r="J34" i="5"/>
  <c r="I34" i="5"/>
  <c r="M34" i="5" s="1"/>
  <c r="R34" i="5" s="1"/>
  <c r="F34" i="5"/>
  <c r="E34" i="5"/>
  <c r="H34" i="5" s="1"/>
  <c r="D34" i="5"/>
  <c r="K34" i="5" s="1"/>
  <c r="L34" i="5" s="1"/>
  <c r="C34" i="5"/>
  <c r="U34" i="5" s="1"/>
  <c r="B34" i="5"/>
  <c r="P33" i="5"/>
  <c r="M33" i="5"/>
  <c r="R33" i="5" s="1"/>
  <c r="J33" i="5"/>
  <c r="I33" i="5"/>
  <c r="G33" i="5"/>
  <c r="F33" i="5"/>
  <c r="E33" i="5"/>
  <c r="D33" i="5"/>
  <c r="C33" i="5"/>
  <c r="B33" i="5"/>
  <c r="K33" i="5" s="1"/>
  <c r="J32" i="5"/>
  <c r="I32" i="5"/>
  <c r="H32" i="5"/>
  <c r="G32" i="5"/>
  <c r="E32" i="5"/>
  <c r="D32" i="5"/>
  <c r="C32" i="5"/>
  <c r="U32" i="5" s="1"/>
  <c r="B32" i="5"/>
  <c r="U31" i="5"/>
  <c r="J31" i="5"/>
  <c r="I31" i="5"/>
  <c r="M31" i="5" s="1"/>
  <c r="R31" i="5" s="1"/>
  <c r="H31" i="5"/>
  <c r="G31" i="5"/>
  <c r="E31" i="5"/>
  <c r="D31" i="5"/>
  <c r="K31" i="5" s="1"/>
  <c r="C31" i="5"/>
  <c r="B31" i="5"/>
  <c r="F31" i="5" s="1"/>
  <c r="J30" i="5"/>
  <c r="I30" i="5"/>
  <c r="E30" i="5"/>
  <c r="H30" i="5" s="1"/>
  <c r="D30" i="5"/>
  <c r="G30" i="5" s="1"/>
  <c r="C30" i="5"/>
  <c r="U30" i="5" s="1"/>
  <c r="B30" i="5"/>
  <c r="J29" i="5"/>
  <c r="I29" i="5"/>
  <c r="M29" i="5" s="1"/>
  <c r="R29" i="5" s="1"/>
  <c r="G29" i="5"/>
  <c r="F29" i="5"/>
  <c r="N29" i="5" s="1"/>
  <c r="S29" i="5" s="1"/>
  <c r="E29" i="5"/>
  <c r="D29" i="5"/>
  <c r="C29" i="5"/>
  <c r="U29" i="5" s="1"/>
  <c r="B29" i="5"/>
  <c r="N28" i="5"/>
  <c r="S28" i="5" s="1"/>
  <c r="L28" i="5"/>
  <c r="K28" i="5"/>
  <c r="T28" i="5" s="1"/>
  <c r="J28" i="5"/>
  <c r="I28" i="5"/>
  <c r="M28" i="5" s="1"/>
  <c r="R28" i="5" s="1"/>
  <c r="H28" i="5"/>
  <c r="G28" i="5"/>
  <c r="O28" i="5" s="1"/>
  <c r="F28" i="5"/>
  <c r="P28" i="5" s="1"/>
  <c r="E28" i="5"/>
  <c r="D28" i="5"/>
  <c r="U28" i="5" s="1"/>
  <c r="C28" i="5"/>
  <c r="B28" i="5"/>
  <c r="T27" i="5"/>
  <c r="J27" i="5"/>
  <c r="I27" i="5"/>
  <c r="M27" i="5" s="1"/>
  <c r="R27" i="5" s="1"/>
  <c r="F27" i="5"/>
  <c r="E27" i="5"/>
  <c r="H27" i="5" s="1"/>
  <c r="D27" i="5"/>
  <c r="K27" i="5" s="1"/>
  <c r="L27" i="5" s="1"/>
  <c r="C27" i="5"/>
  <c r="U27" i="5" s="1"/>
  <c r="B27" i="5"/>
  <c r="U26" i="5"/>
  <c r="L26" i="5"/>
  <c r="K26" i="5"/>
  <c r="T26" i="5" s="1"/>
  <c r="J26" i="5"/>
  <c r="I26" i="5"/>
  <c r="E26" i="5"/>
  <c r="H26" i="5" s="1"/>
  <c r="D26" i="5"/>
  <c r="G26" i="5" s="1"/>
  <c r="C26" i="5"/>
  <c r="B26" i="5"/>
  <c r="F26" i="5" s="1"/>
  <c r="P25" i="5"/>
  <c r="J25" i="5"/>
  <c r="I25" i="5"/>
  <c r="G25" i="5"/>
  <c r="E25" i="5"/>
  <c r="H25" i="5" s="1"/>
  <c r="O25" i="5" s="1"/>
  <c r="D25" i="5"/>
  <c r="C25" i="5"/>
  <c r="U25" i="5" s="1"/>
  <c r="B25" i="5"/>
  <c r="F25" i="5" s="1"/>
  <c r="M25" i="5" s="1"/>
  <c r="R25" i="5" s="1"/>
  <c r="U24" i="5"/>
  <c r="J24" i="5"/>
  <c r="I24" i="5"/>
  <c r="H24" i="5"/>
  <c r="E24" i="5"/>
  <c r="D24" i="5"/>
  <c r="G24" i="5" s="1"/>
  <c r="C24" i="5"/>
  <c r="B24" i="5"/>
  <c r="J23" i="5"/>
  <c r="P23" i="5" s="1"/>
  <c r="I23" i="5"/>
  <c r="F23" i="5"/>
  <c r="M23" i="5" s="1"/>
  <c r="R23" i="5" s="1"/>
  <c r="E23" i="5"/>
  <c r="D23" i="5"/>
  <c r="G23" i="5" s="1"/>
  <c r="C23" i="5"/>
  <c r="U23" i="5" s="1"/>
  <c r="B23" i="5"/>
  <c r="K22" i="5"/>
  <c r="T22" i="5" s="1"/>
  <c r="J22" i="5"/>
  <c r="I22" i="5"/>
  <c r="H22" i="5"/>
  <c r="G22" i="5"/>
  <c r="E22" i="5"/>
  <c r="U22" i="5" s="1"/>
  <c r="D22" i="5"/>
  <c r="C22" i="5"/>
  <c r="B22" i="5"/>
  <c r="F22" i="5" s="1"/>
  <c r="N22" i="5" s="1"/>
  <c r="N21" i="5"/>
  <c r="M21" i="5"/>
  <c r="R21" i="5" s="1"/>
  <c r="L21" i="5"/>
  <c r="J21" i="5"/>
  <c r="I21" i="5"/>
  <c r="H21" i="5"/>
  <c r="F21" i="5"/>
  <c r="P21" i="5" s="1"/>
  <c r="E21" i="5"/>
  <c r="D21" i="5"/>
  <c r="G21" i="5" s="1"/>
  <c r="O21" i="5" s="1"/>
  <c r="C21" i="5"/>
  <c r="B21" i="5"/>
  <c r="K21" i="5" s="1"/>
  <c r="T21" i="5" s="1"/>
  <c r="J20" i="5"/>
  <c r="I20" i="5"/>
  <c r="M20" i="5" s="1"/>
  <c r="R20" i="5" s="1"/>
  <c r="F20" i="5"/>
  <c r="E20" i="5"/>
  <c r="H20" i="5" s="1"/>
  <c r="D20" i="5"/>
  <c r="C20" i="5"/>
  <c r="U20" i="5" s="1"/>
  <c r="B20" i="5"/>
  <c r="K19" i="5"/>
  <c r="J19" i="5"/>
  <c r="I19" i="5"/>
  <c r="E19" i="5"/>
  <c r="H19" i="5" s="1"/>
  <c r="D19" i="5"/>
  <c r="G19" i="5" s="1"/>
  <c r="C19" i="5"/>
  <c r="U19" i="5" s="1"/>
  <c r="B19" i="5"/>
  <c r="F19" i="5" s="1"/>
  <c r="P18" i="5"/>
  <c r="O18" i="5"/>
  <c r="M18" i="5"/>
  <c r="R18" i="5" s="1"/>
  <c r="J18" i="5"/>
  <c r="I18" i="5"/>
  <c r="G18" i="5"/>
  <c r="E18" i="5"/>
  <c r="H18" i="5" s="1"/>
  <c r="D18" i="5"/>
  <c r="C18" i="5"/>
  <c r="B18" i="5"/>
  <c r="F18" i="5" s="1"/>
  <c r="J17" i="5"/>
  <c r="P17" i="5" s="1"/>
  <c r="I17" i="5"/>
  <c r="M17" i="5" s="1"/>
  <c r="R17" i="5" s="1"/>
  <c r="E17" i="5"/>
  <c r="H17" i="5" s="1"/>
  <c r="D17" i="5"/>
  <c r="C17" i="5"/>
  <c r="U17" i="5" s="1"/>
  <c r="B17" i="5"/>
  <c r="F17" i="5" s="1"/>
  <c r="K16" i="5"/>
  <c r="J16" i="5"/>
  <c r="I16" i="5"/>
  <c r="H16" i="5"/>
  <c r="B13" i="9" s="1"/>
  <c r="E16" i="5"/>
  <c r="D16" i="5"/>
  <c r="G16" i="5" s="1"/>
  <c r="B12" i="9" s="1"/>
  <c r="D12" i="9" s="1"/>
  <c r="C16" i="5"/>
  <c r="U16" i="5" s="1"/>
  <c r="B16" i="5"/>
  <c r="G57" i="5" s="1"/>
  <c r="J15" i="5"/>
  <c r="I15" i="5"/>
  <c r="G15" i="5"/>
  <c r="E15" i="5"/>
  <c r="H15" i="5" s="1"/>
  <c r="D15" i="5"/>
  <c r="C15" i="5"/>
  <c r="B15" i="5"/>
  <c r="K15" i="5" s="1"/>
  <c r="J14" i="5"/>
  <c r="I14" i="5"/>
  <c r="G14" i="5"/>
  <c r="F14" i="5"/>
  <c r="E14" i="5"/>
  <c r="D14" i="5"/>
  <c r="C14" i="5"/>
  <c r="B14" i="5"/>
  <c r="M13" i="5"/>
  <c r="R13" i="5" s="1"/>
  <c r="K13" i="5"/>
  <c r="T13" i="5" s="1"/>
  <c r="J13" i="5"/>
  <c r="I13" i="5"/>
  <c r="F13" i="5"/>
  <c r="E13" i="5"/>
  <c r="H13" i="5" s="1"/>
  <c r="D13" i="5"/>
  <c r="G13" i="5" s="1"/>
  <c r="C13" i="5"/>
  <c r="U13" i="5" s="1"/>
  <c r="B13" i="5"/>
  <c r="J12" i="5"/>
  <c r="I12" i="5"/>
  <c r="G12" i="5"/>
  <c r="E12" i="5"/>
  <c r="H12" i="5" s="1"/>
  <c r="D12" i="5"/>
  <c r="C12" i="5"/>
  <c r="U12" i="5" s="1"/>
  <c r="B12" i="5"/>
  <c r="U11" i="5"/>
  <c r="L11" i="5"/>
  <c r="K11" i="5"/>
  <c r="T11" i="5" s="1"/>
  <c r="J11" i="5"/>
  <c r="I11" i="5"/>
  <c r="H11" i="5"/>
  <c r="G11" i="5"/>
  <c r="F11" i="5"/>
  <c r="O11" i="5" s="1"/>
  <c r="E11" i="5"/>
  <c r="D11" i="5"/>
  <c r="C11" i="5"/>
  <c r="B11" i="5"/>
  <c r="M10" i="5"/>
  <c r="R10" i="5" s="1"/>
  <c r="L10" i="5"/>
  <c r="K10" i="5"/>
  <c r="T10" i="5" s="1"/>
  <c r="J10" i="5"/>
  <c r="I10" i="5"/>
  <c r="E10" i="5"/>
  <c r="H10" i="5" s="1"/>
  <c r="D10" i="5"/>
  <c r="G10" i="5" s="1"/>
  <c r="C10" i="5"/>
  <c r="U10" i="5" s="1"/>
  <c r="B10" i="5"/>
  <c r="F10" i="5" s="1"/>
  <c r="P10" i="5" s="1"/>
  <c r="J9" i="5"/>
  <c r="I9" i="5"/>
  <c r="H9" i="5"/>
  <c r="G9" i="5"/>
  <c r="E9" i="5"/>
  <c r="D9" i="5"/>
  <c r="C9" i="5"/>
  <c r="U9" i="5" s="1"/>
  <c r="B9" i="5"/>
  <c r="U8" i="5"/>
  <c r="L8" i="5"/>
  <c r="K8" i="5"/>
  <c r="T8" i="5" s="1"/>
  <c r="J8" i="5"/>
  <c r="O8" i="5" s="1"/>
  <c r="I8" i="5"/>
  <c r="H8" i="5"/>
  <c r="G8" i="5"/>
  <c r="F8" i="5"/>
  <c r="N8" i="5" s="1"/>
  <c r="E8" i="5"/>
  <c r="D8" i="5"/>
  <c r="C8" i="5"/>
  <c r="B8" i="5"/>
  <c r="N7" i="5"/>
  <c r="M7" i="5"/>
  <c r="R7" i="5" s="1"/>
  <c r="L7" i="5"/>
  <c r="J7" i="5"/>
  <c r="I7" i="5"/>
  <c r="F7" i="5"/>
  <c r="P7" i="5" s="1"/>
  <c r="E7" i="5"/>
  <c r="H7" i="5" s="1"/>
  <c r="D7" i="5"/>
  <c r="G7" i="5" s="1"/>
  <c r="O7" i="5" s="1"/>
  <c r="C7" i="5"/>
  <c r="U7" i="5" s="1"/>
  <c r="B7" i="5"/>
  <c r="K7" i="5" s="1"/>
  <c r="T7" i="5" s="1"/>
  <c r="J6" i="5"/>
  <c r="I6" i="5"/>
  <c r="M6" i="5" s="1"/>
  <c r="R6" i="5" s="1"/>
  <c r="F6" i="5"/>
  <c r="E6" i="5"/>
  <c r="H6" i="5" s="1"/>
  <c r="D6" i="5"/>
  <c r="C6" i="5"/>
  <c r="U6" i="5" s="1"/>
  <c r="B6" i="5"/>
  <c r="K5" i="5"/>
  <c r="J5" i="5"/>
  <c r="I5" i="5"/>
  <c r="E5" i="5"/>
  <c r="H5" i="5" s="1"/>
  <c r="D5" i="5"/>
  <c r="G5" i="5" s="1"/>
  <c r="C5" i="5"/>
  <c r="U5" i="5" s="1"/>
  <c r="B5" i="5"/>
  <c r="F5" i="5" s="1"/>
  <c r="C17" i="4"/>
  <c r="E16" i="4"/>
  <c r="E13" i="4"/>
  <c r="E14" i="4" s="1"/>
  <c r="D13" i="4"/>
  <c r="D14" i="4" s="1"/>
  <c r="D18" i="4" s="1"/>
  <c r="C13" i="4"/>
  <c r="D12" i="4"/>
  <c r="E11" i="4"/>
  <c r="D11" i="4"/>
  <c r="E10" i="4"/>
  <c r="E12" i="4" s="1"/>
  <c r="C10" i="4"/>
  <c r="E9" i="4"/>
  <c r="C9" i="4"/>
  <c r="E8" i="4"/>
  <c r="D8" i="4"/>
  <c r="E7" i="4"/>
  <c r="C7" i="4"/>
  <c r="E6" i="4"/>
  <c r="C6" i="4"/>
  <c r="E5" i="4"/>
  <c r="C5" i="4"/>
  <c r="D33" i="3"/>
  <c r="D32" i="3"/>
  <c r="D31" i="3"/>
  <c r="D30" i="3"/>
  <c r="D29" i="3"/>
  <c r="D28" i="3"/>
  <c r="D27" i="3"/>
  <c r="D26" i="3"/>
  <c r="C21" i="3"/>
  <c r="B20" i="3"/>
  <c r="E19" i="3"/>
  <c r="D19" i="3"/>
  <c r="C17" i="3"/>
  <c r="C16" i="3"/>
  <c r="B16" i="3"/>
  <c r="E15" i="3"/>
  <c r="C10" i="3"/>
  <c r="D10" i="3" s="1"/>
  <c r="C9" i="3"/>
  <c r="E16" i="3" s="1"/>
  <c r="D8" i="3"/>
  <c r="C8" i="3"/>
  <c r="B19" i="3" s="1"/>
  <c r="C7" i="3"/>
  <c r="C6" i="3"/>
  <c r="C5" i="3"/>
  <c r="D5" i="3" s="1"/>
  <c r="C29" i="2"/>
  <c r="N22" i="8" s="1"/>
  <c r="O26" i="5" l="1"/>
  <c r="P26" i="5"/>
  <c r="S7" i="5"/>
  <c r="Q7" i="5"/>
  <c r="S21" i="5"/>
  <c r="Q21" i="5"/>
  <c r="P30" i="5"/>
  <c r="O37" i="5"/>
  <c r="T42" i="5"/>
  <c r="L42" i="5"/>
  <c r="L8" i="6"/>
  <c r="J8" i="6"/>
  <c r="M8" i="6" s="1"/>
  <c r="H23" i="7"/>
  <c r="G23" i="7"/>
  <c r="K20" i="5"/>
  <c r="G20" i="5"/>
  <c r="E15" i="4"/>
  <c r="E18" i="4"/>
  <c r="K6" i="5"/>
  <c r="G6" i="5"/>
  <c r="P45" i="5"/>
  <c r="O45" i="5"/>
  <c r="N45" i="5"/>
  <c r="K14" i="5"/>
  <c r="H14" i="5"/>
  <c r="O14" i="5" s="1"/>
  <c r="K17" i="5"/>
  <c r="G17" i="5"/>
  <c r="O17" i="5" s="1"/>
  <c r="L45" i="5"/>
  <c r="T45" i="5"/>
  <c r="N14" i="5"/>
  <c r="P14" i="5"/>
  <c r="M14" i="5"/>
  <c r="R14" i="5" s="1"/>
  <c r="K23" i="5"/>
  <c r="H23" i="5"/>
  <c r="M30" i="5"/>
  <c r="R30" i="5" s="1"/>
  <c r="F32" i="5"/>
  <c r="K32" i="5"/>
  <c r="H40" i="5"/>
  <c r="O40" i="5" s="1"/>
  <c r="U40" i="5"/>
  <c r="K40" i="5"/>
  <c r="D15" i="3"/>
  <c r="D18" i="3"/>
  <c r="D21" i="3"/>
  <c r="D17" i="3"/>
  <c r="D16" i="3"/>
  <c r="D20" i="3"/>
  <c r="D6" i="3"/>
  <c r="S22" i="5"/>
  <c r="Q22" i="5"/>
  <c r="U39" i="5"/>
  <c r="M47" i="5"/>
  <c r="R47" i="5" s="1"/>
  <c r="K29" i="5"/>
  <c r="H29" i="5"/>
  <c r="O29" i="5" s="1"/>
  <c r="N36" i="5"/>
  <c r="P36" i="5"/>
  <c r="O36" i="5"/>
  <c r="P37" i="5"/>
  <c r="S46" i="5"/>
  <c r="Q46" i="5"/>
  <c r="M11" i="5"/>
  <c r="R11" i="5" s="1"/>
  <c r="P27" i="5"/>
  <c r="O27" i="5"/>
  <c r="N27" i="5"/>
  <c r="L35" i="5"/>
  <c r="U14" i="5"/>
  <c r="O12" i="5"/>
  <c r="K30" i="5"/>
  <c r="F30" i="5"/>
  <c r="L33" i="5"/>
  <c r="T33" i="5"/>
  <c r="D15" i="4"/>
  <c r="K9" i="5"/>
  <c r="F9" i="5"/>
  <c r="P9" i="5" s="1"/>
  <c r="K12" i="5"/>
  <c r="F12" i="5"/>
  <c r="P12" i="5" s="1"/>
  <c r="K39" i="5"/>
  <c r="H39" i="5"/>
  <c r="O39" i="5" s="1"/>
  <c r="H16" i="7"/>
  <c r="G16" i="7"/>
  <c r="F24" i="5"/>
  <c r="M24" i="5" s="1"/>
  <c r="R24" i="5" s="1"/>
  <c r="K24" i="5"/>
  <c r="M26" i="5"/>
  <c r="R26" i="5" s="1"/>
  <c r="J6" i="6"/>
  <c r="M6" i="6" s="1"/>
  <c r="S8" i="5"/>
  <c r="Q8" i="5"/>
  <c r="P13" i="5"/>
  <c r="O13" i="5"/>
  <c r="N13" i="5"/>
  <c r="M19" i="5"/>
  <c r="R19" i="5" s="1"/>
  <c r="L31" i="5"/>
  <c r="T31" i="5"/>
  <c r="M5" i="5"/>
  <c r="R5" i="5" s="1"/>
  <c r="O9" i="5"/>
  <c r="L15" i="5"/>
  <c r="T15" i="5"/>
  <c r="B18" i="9"/>
  <c r="D13" i="9"/>
  <c r="P19" i="5"/>
  <c r="O19" i="5"/>
  <c r="N19" i="5"/>
  <c r="K41" i="5"/>
  <c r="G41" i="5"/>
  <c r="O41" i="5" s="1"/>
  <c r="L43" i="5"/>
  <c r="P5" i="5"/>
  <c r="O5" i="5"/>
  <c r="N5" i="5"/>
  <c r="L13" i="5"/>
  <c r="T19" i="5"/>
  <c r="L19" i="5"/>
  <c r="M22" i="5"/>
  <c r="R22" i="5" s="1"/>
  <c r="E5" i="7"/>
  <c r="E8" i="7" s="1"/>
  <c r="D5" i="7"/>
  <c r="T5" i="5"/>
  <c r="L5" i="5"/>
  <c r="M8" i="5"/>
  <c r="R8" i="5" s="1"/>
  <c r="G61" i="5"/>
  <c r="B11" i="10"/>
  <c r="O22" i="5"/>
  <c r="M36" i="5"/>
  <c r="R36" i="5" s="1"/>
  <c r="L46" i="5"/>
  <c r="D9" i="6"/>
  <c r="G9" i="6" s="1"/>
  <c r="C9" i="6"/>
  <c r="I9" i="6" s="1"/>
  <c r="N10" i="5"/>
  <c r="B56" i="8"/>
  <c r="B10" i="10"/>
  <c r="L16" i="5"/>
  <c r="G60" i="5" s="1"/>
  <c r="E6" i="7"/>
  <c r="D6" i="7"/>
  <c r="H27" i="7"/>
  <c r="G27" i="7"/>
  <c r="C20" i="3"/>
  <c r="D7" i="3"/>
  <c r="B17" i="3"/>
  <c r="E20" i="3"/>
  <c r="O10" i="5"/>
  <c r="N11" i="5"/>
  <c r="T34" i="5"/>
  <c r="K36" i="5"/>
  <c r="P38" i="5"/>
  <c r="O38" i="5"/>
  <c r="P46" i="5"/>
  <c r="L47" i="5"/>
  <c r="H24" i="7"/>
  <c r="G24" i="7"/>
  <c r="N10" i="8"/>
  <c r="N47" i="5"/>
  <c r="H20" i="7"/>
  <c r="G20" i="7"/>
  <c r="B21" i="3"/>
  <c r="L22" i="5"/>
  <c r="N37" i="5"/>
  <c r="L38" i="5"/>
  <c r="T38" i="5"/>
  <c r="U43" i="5"/>
  <c r="H17" i="7"/>
  <c r="G17" i="7"/>
  <c r="N9" i="8"/>
  <c r="H21" i="7"/>
  <c r="G21" i="7"/>
  <c r="T44" i="5"/>
  <c r="H28" i="7"/>
  <c r="G28" i="7"/>
  <c r="U18" i="5"/>
  <c r="E21" i="3"/>
  <c r="P22" i="5"/>
  <c r="O24" i="5"/>
  <c r="Q38" i="5"/>
  <c r="D10" i="6"/>
  <c r="G10" i="6" s="1"/>
  <c r="C10" i="6"/>
  <c r="I10" i="6" s="1"/>
  <c r="H18" i="7"/>
  <c r="G18" i="7"/>
  <c r="P6" i="5"/>
  <c r="U15" i="5"/>
  <c r="P20" i="5"/>
  <c r="P41" i="5"/>
  <c r="B18" i="3"/>
  <c r="U21" i="5"/>
  <c r="P11" i="5"/>
  <c r="N23" i="5"/>
  <c r="P31" i="5"/>
  <c r="O31" i="5"/>
  <c r="N41" i="5"/>
  <c r="L7" i="6"/>
  <c r="J7" i="6"/>
  <c r="M7" i="6" s="1"/>
  <c r="P8" i="5"/>
  <c r="N17" i="5"/>
  <c r="O23" i="5"/>
  <c r="N25" i="5"/>
  <c r="Q28" i="5"/>
  <c r="N30" i="5"/>
  <c r="G34" i="5"/>
  <c r="O34" i="5" s="1"/>
  <c r="F44" i="5"/>
  <c r="D10" i="7"/>
  <c r="F22" i="7"/>
  <c r="E17" i="3"/>
  <c r="H33" i="5"/>
  <c r="O33" i="5" s="1"/>
  <c r="U33" i="5"/>
  <c r="P47" i="5"/>
  <c r="C18" i="3"/>
  <c r="H25" i="7"/>
  <c r="G25" i="7"/>
  <c r="B15" i="3"/>
  <c r="E18" i="3"/>
  <c r="N6" i="5"/>
  <c r="T16" i="5"/>
  <c r="N18" i="5"/>
  <c r="N20" i="5"/>
  <c r="K25" i="5"/>
  <c r="P29" i="5"/>
  <c r="O30" i="5"/>
  <c r="N33" i="5"/>
  <c r="K37" i="5"/>
  <c r="P40" i="5"/>
  <c r="M43" i="5"/>
  <c r="R43" i="5" s="1"/>
  <c r="F29" i="7"/>
  <c r="N45" i="8"/>
  <c r="F15" i="5"/>
  <c r="D9" i="3"/>
  <c r="O6" i="5"/>
  <c r="N9" i="5"/>
  <c r="F16" i="5"/>
  <c r="O16" i="5" s="1"/>
  <c r="K18" i="5"/>
  <c r="O20" i="5"/>
  <c r="Q29" i="5"/>
  <c r="N31" i="5"/>
  <c r="P34" i="5"/>
  <c r="U37" i="5"/>
  <c r="S40" i="5"/>
  <c r="H47" i="5"/>
  <c r="O47" i="5" s="1"/>
  <c r="U47" i="5"/>
  <c r="E16" i="7"/>
  <c r="D9" i="10"/>
  <c r="F26" i="7"/>
  <c r="C8" i="4"/>
  <c r="C15" i="3"/>
  <c r="N41" i="8"/>
  <c r="N27" i="8"/>
  <c r="N42" i="8"/>
  <c r="N28" i="8"/>
  <c r="N14" i="8"/>
  <c r="N43" i="8"/>
  <c r="N29" i="8"/>
  <c r="N15" i="8"/>
  <c r="N44" i="8"/>
  <c r="N30" i="8"/>
  <c r="N16" i="8"/>
  <c r="N46" i="8"/>
  <c r="N32" i="8"/>
  <c r="N18" i="8"/>
  <c r="N47" i="8"/>
  <c r="N33" i="8"/>
  <c r="N19" i="8"/>
  <c r="N5" i="8"/>
  <c r="N34" i="8"/>
  <c r="N35" i="8"/>
  <c r="N21" i="8"/>
  <c r="D55" i="8"/>
  <c r="N37" i="8"/>
  <c r="N23" i="8"/>
  <c r="N38" i="8"/>
  <c r="N24" i="8"/>
  <c r="N39" i="8"/>
  <c r="N25" i="8"/>
  <c r="N11" i="8"/>
  <c r="N40" i="8"/>
  <c r="N26" i="8"/>
  <c r="N12" i="8"/>
  <c r="C19" i="3"/>
  <c r="N26" i="5"/>
  <c r="G27" i="5"/>
  <c r="C56" i="8"/>
  <c r="C10" i="10"/>
  <c r="F19" i="7"/>
  <c r="N13" i="8"/>
  <c r="C11" i="11"/>
  <c r="C14" i="11"/>
  <c r="C17" i="11"/>
  <c r="C6" i="11"/>
  <c r="C9" i="11"/>
  <c r="C11" i="10"/>
  <c r="C7" i="11"/>
  <c r="C10" i="11"/>
  <c r="Q26" i="5" l="1"/>
  <c r="S26" i="5"/>
  <c r="T17" i="5"/>
  <c r="L17" i="5"/>
  <c r="S37" i="5"/>
  <c r="Q37" i="5"/>
  <c r="D56" i="8"/>
  <c r="D10" i="10"/>
  <c r="M32" i="5"/>
  <c r="R32" i="5" s="1"/>
  <c r="P32" i="5"/>
  <c r="O32" i="5"/>
  <c r="S45" i="5"/>
  <c r="Q45" i="5"/>
  <c r="Q36" i="5"/>
  <c r="S36" i="5"/>
  <c r="S11" i="5"/>
  <c r="Q11" i="5"/>
  <c r="L37" i="5"/>
  <c r="T37" i="5"/>
  <c r="S25" i="5"/>
  <c r="Q25" i="5"/>
  <c r="P24" i="5"/>
  <c r="Q33" i="5"/>
  <c r="S33" i="5"/>
  <c r="S13" i="5"/>
  <c r="Q13" i="5"/>
  <c r="T39" i="5"/>
  <c r="L39" i="5"/>
  <c r="S27" i="5"/>
  <c r="Q27" i="5"/>
  <c r="L24" i="5"/>
  <c r="T24" i="5"/>
  <c r="L41" i="5"/>
  <c r="T41" i="5"/>
  <c r="Q6" i="5"/>
  <c r="S6" i="5"/>
  <c r="L29" i="5"/>
  <c r="T29" i="5"/>
  <c r="L14" i="5"/>
  <c r="G51" i="5" s="1"/>
  <c r="T14" i="5"/>
  <c r="Q17" i="5"/>
  <c r="S17" i="5"/>
  <c r="C11" i="4"/>
  <c r="C12" i="4"/>
  <c r="L18" i="5"/>
  <c r="T18" i="5"/>
  <c r="Q47" i="5"/>
  <c r="S47" i="5"/>
  <c r="L12" i="5"/>
  <c r="T12" i="5"/>
  <c r="L23" i="5"/>
  <c r="T23" i="5"/>
  <c r="N16" i="5"/>
  <c r="L6" i="5"/>
  <c r="T6" i="5"/>
  <c r="G56" i="5"/>
  <c r="Q30" i="5"/>
  <c r="S30" i="5"/>
  <c r="S19" i="5"/>
  <c r="Q19" i="5"/>
  <c r="L9" i="6"/>
  <c r="J9" i="6"/>
  <c r="M9" i="6" s="1"/>
  <c r="T25" i="5"/>
  <c r="L25" i="5"/>
  <c r="M16" i="5"/>
  <c r="R16" i="5" s="1"/>
  <c r="M9" i="5"/>
  <c r="R9" i="5" s="1"/>
  <c r="G52" i="5" s="1"/>
  <c r="N12" i="5"/>
  <c r="N24" i="5"/>
  <c r="P16" i="5"/>
  <c r="L9" i="5"/>
  <c r="T9" i="5"/>
  <c r="G54" i="5" s="1"/>
  <c r="B8" i="10" s="1"/>
  <c r="L30" i="5"/>
  <c r="T30" i="5"/>
  <c r="T32" i="5"/>
  <c r="L32" i="5"/>
  <c r="S41" i="5"/>
  <c r="Q41" i="5"/>
  <c r="S10" i="5"/>
  <c r="Q10" i="5"/>
  <c r="S31" i="5"/>
  <c r="Q31" i="5"/>
  <c r="H26" i="7"/>
  <c r="G26" i="7"/>
  <c r="S9" i="5"/>
  <c r="Q9" i="5"/>
  <c r="Q20" i="5"/>
  <c r="S20" i="5"/>
  <c r="H22" i="7"/>
  <c r="G22" i="7"/>
  <c r="S18" i="5"/>
  <c r="Q18" i="5"/>
  <c r="D12" i="7"/>
  <c r="D12" i="10" s="1"/>
  <c r="E10" i="7"/>
  <c r="D11" i="10" s="1"/>
  <c r="N32" i="5"/>
  <c r="L10" i="6"/>
  <c r="J10" i="6"/>
  <c r="M10" i="6" s="1"/>
  <c r="Q14" i="5"/>
  <c r="S14" i="5"/>
  <c r="S23" i="5"/>
  <c r="Q23" i="5"/>
  <c r="T40" i="5"/>
  <c r="L40" i="5"/>
  <c r="H29" i="7"/>
  <c r="G29" i="7"/>
  <c r="T36" i="5"/>
  <c r="L36" i="5"/>
  <c r="B11" i="9"/>
  <c r="D11" i="9" s="1"/>
  <c r="D14" i="9" s="1"/>
  <c r="E14" i="9" s="1"/>
  <c r="G58" i="5"/>
  <c r="H19" i="7"/>
  <c r="G19" i="7"/>
  <c r="Q5" i="5"/>
  <c r="S5" i="5"/>
  <c r="O44" i="5"/>
  <c r="P44" i="5"/>
  <c r="N44" i="5"/>
  <c r="M44" i="5"/>
  <c r="R44" i="5" s="1"/>
  <c r="L20" i="5"/>
  <c r="T20" i="5"/>
  <c r="P15" i="5"/>
  <c r="O15" i="5"/>
  <c r="M15" i="5"/>
  <c r="R15" i="5" s="1"/>
  <c r="N15" i="5"/>
  <c r="M12" i="5"/>
  <c r="R12" i="5" s="1"/>
  <c r="B6" i="10" l="1"/>
  <c r="E24" i="11"/>
  <c r="F24" i="11" s="1"/>
  <c r="B57" i="8"/>
  <c r="S12" i="5"/>
  <c r="Q12" i="5"/>
  <c r="S44" i="5"/>
  <c r="Q44" i="5"/>
  <c r="S15" i="5"/>
  <c r="Q15" i="5"/>
  <c r="G62" i="5"/>
  <c r="S16" i="5"/>
  <c r="Q16" i="5"/>
  <c r="G63" i="5" s="1"/>
  <c r="G53" i="5"/>
  <c r="B7" i="10" s="1"/>
  <c r="C16" i="4"/>
  <c r="C14" i="4"/>
  <c r="B12" i="10"/>
  <c r="G64" i="5"/>
  <c r="Q32" i="5"/>
  <c r="S32" i="5"/>
  <c r="Q24" i="5"/>
  <c r="S24" i="5"/>
  <c r="C18" i="9"/>
  <c r="C19" i="4" l="1"/>
  <c r="B19" i="9"/>
  <c r="C19" i="9" s="1"/>
  <c r="D18" i="9"/>
  <c r="C15" i="4"/>
  <c r="C18" i="4"/>
  <c r="B20" i="9" l="1"/>
  <c r="C20" i="9" s="1"/>
  <c r="D19" i="9"/>
  <c r="B21" i="9" l="1"/>
  <c r="C21" i="9" s="1"/>
  <c r="D20" i="9"/>
  <c r="B22" i="9" l="1"/>
  <c r="C22" i="9" s="1"/>
  <c r="D21" i="9"/>
  <c r="B24" i="9" l="1"/>
  <c r="D22" i="9"/>
</calcChain>
</file>

<file path=xl/sharedStrings.xml><?xml version="1.0" encoding="utf-8"?>
<sst xmlns="http://schemas.openxmlformats.org/spreadsheetml/2006/main" count="481" uniqueCount="426">
  <si>
    <t>Appendix — Computational workbook for "Computational, Communication and Scheduling Limits of MMC Control Architectures"</t>
  </si>
  <si>
    <t>Purpose</t>
  </si>
  <si>
    <t>Every numerical figure and every plot of the report is reproduced here as a live formula. Change an input (blue cells, yellow fill) and all sheets, tables and charts recalculate.</t>
  </si>
  <si>
    <t>Colour code</t>
  </si>
  <si>
    <t>Blue text on yellow = input / assumption (design estimate pending DWT-CYCCNT measurement unless a reference is cited). Black = formula. Green = link to another sheet.</t>
  </si>
  <si>
    <t>Units</t>
  </si>
  <si>
    <t>Cycles at f_CPU; times in µs unless stated; utilization stored as fraction (0.17 = 17 %).</t>
  </si>
  <si>
    <t>Sheet map</t>
  </si>
  <si>
    <t>Parameters → §2 Cost models → §2.5 Budget method → §3 Case A → §4 Case B → §5 Case C → §6 Scaling laws → §7 Scheduling → §8 Comparative → §9 Harmonics</t>
  </si>
  <si>
    <t>Equation column</t>
  </si>
  <si>
    <t>Each computed column carries, in its header, the symbolic equation it implements so the sheet can be read as a derivation.</t>
  </si>
  <si>
    <t>References</t>
  </si>
  <si>
    <t>[1] Ricco, Mathe, Teodorescu, EPE ECCE Europe (Bitonic sorting on FPGA) · [3] ISO 11898 CAN · [5] IEEE 802.3 · [7] Xilinx PG046 Aurora 8B/10B · [8] ST RM0440 STM32G4 · [10],[11] Olfati-Saber et al. consensus · [12] Liu &amp; Layland 1973 · [13] Buttazzo · [14] ARM Cortex-M4 TRM · [15] IEEE 519-2022</t>
  </si>
  <si>
    <t>Global parameters and cost model (inputs)</t>
  </si>
  <si>
    <t>All blue cells are inputs. Every other sheet references this sheet.</t>
  </si>
  <si>
    <t>Symbol</t>
  </si>
  <si>
    <t>Meaning</t>
  </si>
  <si>
    <t>Value</t>
  </si>
  <si>
    <t>Unit</t>
  </si>
  <si>
    <t>Source / note</t>
  </si>
  <si>
    <t>f_CPU</t>
  </si>
  <si>
    <t>STM32G474 core clock</t>
  </si>
  <si>
    <t>Hz</t>
  </si>
  <si>
    <t>[8] RM0440</t>
  </si>
  <si>
    <t>T1</t>
  </si>
  <si>
    <t>CVB / low-level period</t>
  </si>
  <si>
    <t>s</t>
  </si>
  <si>
    <t>project task set (10 kHz)</t>
  </si>
  <si>
    <t>T2</t>
  </si>
  <si>
    <t>energy / inner period</t>
  </si>
  <si>
    <t>project task set (1 kHz)</t>
  </si>
  <si>
    <t>T3</t>
  </si>
  <si>
    <t>grid / outer period</t>
  </si>
  <si>
    <t>project task set (100 Hz)</t>
  </si>
  <si>
    <t>f0</t>
  </si>
  <si>
    <t>grid frequency</t>
  </si>
  <si>
    <t>b</t>
  </si>
  <si>
    <t>payload bits per measurement frame</t>
  </si>
  <si>
    <t>bit</t>
  </si>
  <si>
    <t>Vc 12–16 bit + ID + status</t>
  </si>
  <si>
    <t>N_ref</t>
  </si>
  <si>
    <t>reference submodules per arm (whiteboard)</t>
  </si>
  <si>
    <t>-</t>
  </si>
  <si>
    <t>project</t>
  </si>
  <si>
    <t>U_max</t>
  </si>
  <si>
    <t>RMS bound, harmonic set</t>
  </si>
  <si>
    <t>[12]</t>
  </si>
  <si>
    <t>U_design</t>
  </si>
  <si>
    <t>design margin on utilization</t>
  </si>
  <si>
    <t>report §7</t>
  </si>
  <si>
    <t>c_FLOP</t>
  </si>
  <si>
    <t>FADD/FSUB/FMUL/FMA</t>
  </si>
  <si>
    <t>cyc</t>
  </si>
  <si>
    <t>[14] adjusted</t>
  </si>
  <si>
    <t>c_DIV</t>
  </si>
  <si>
    <t>FDIV / FSQRT</t>
  </si>
  <si>
    <t>[14]</t>
  </si>
  <si>
    <t>c_TRIG</t>
  </si>
  <si>
    <t>sin / cos (CMSIS table)</t>
  </si>
  <si>
    <t>c_TANH</t>
  </si>
  <si>
    <t>tanh polynomial</t>
  </si>
  <si>
    <t>c_MOD</t>
  </si>
  <si>
    <t>floating mod</t>
  </si>
  <si>
    <t>c_STATE</t>
  </si>
  <si>
    <t>persistent state access</t>
  </si>
  <si>
    <t>cyc/var</t>
  </si>
  <si>
    <t>c_CALL</t>
  </si>
  <si>
    <t>function overhead</t>
  </si>
  <si>
    <t>c_CS</t>
  </si>
  <si>
    <t>compare-and-swap, packed word (bubble)</t>
  </si>
  <si>
    <t>design estimate — Case A</t>
  </si>
  <si>
    <t>c_SEL</t>
  </si>
  <si>
    <t>selection / gate write per module</t>
  </si>
  <si>
    <t>C0_A</t>
  </si>
  <si>
    <t>CVB fixed overhead Case A</t>
  </si>
  <si>
    <t>a2</t>
  </si>
  <si>
    <t>energy layer fixed cycles (centralized)</t>
  </si>
  <si>
    <t>extracted code</t>
  </si>
  <si>
    <t>b2</t>
  </si>
  <si>
    <t>energy layer cycles per module</t>
  </si>
  <si>
    <t>cyc/SM</t>
  </si>
  <si>
    <t>mean + ΣE over N</t>
  </si>
  <si>
    <t>C3</t>
  </si>
  <si>
    <t>outer layer cycles (2 SOGI, PLL, dq PI, power)</t>
  </si>
  <si>
    <t>NLMsortclose7 extracted</t>
  </si>
  <si>
    <t>C3_CORDIC</t>
  </si>
  <si>
    <t>outer layer with CORDIC</t>
  </si>
  <si>
    <t>4 trig 200→80</t>
  </si>
  <si>
    <t>t_SPI</t>
  </si>
  <si>
    <t>SPI 20 MHz frame time, b=32</t>
  </si>
  <si>
    <t>Table 3: b/20M + 2 µs</t>
  </si>
  <si>
    <t>t_UART</t>
  </si>
  <si>
    <t>UART 8N1 3 Mbps frame, 4 bytes</t>
  </si>
  <si>
    <t>formula: 10·⌈b/8⌉/3e6</t>
  </si>
  <si>
    <t>t_AUR</t>
  </si>
  <si>
    <t>Aurora stream interval per sample</t>
  </si>
  <si>
    <t>[7], project stream model</t>
  </si>
  <si>
    <t>t_gate</t>
  </si>
  <si>
    <t>gate distribution frame per arm (1 bit/SM, N≤32)</t>
  </si>
  <si>
    <t>one 32-bit SPI frame</t>
  </si>
  <si>
    <t>C1_C</t>
  </si>
  <si>
    <t>decentralized τ1 per node</t>
  </si>
  <si>
    <t>260 consensus + 150 frame + 560 gate/health</t>
  </si>
  <si>
    <t>C2_C</t>
  </si>
  <si>
    <t>decentralized τ2 replica</t>
  </si>
  <si>
    <t>C3_C</t>
  </si>
  <si>
    <t>decentralized τ3 replica</t>
  </si>
  <si>
    <t>k_v</t>
  </si>
  <si>
    <t>consensus gain</t>
  </si>
  <si>
    <t>1/V</t>
  </si>
  <si>
    <t>project model</t>
  </si>
  <si>
    <t>t_fw</t>
  </si>
  <si>
    <t>per-hop forwarding overhead on the ring</t>
  </si>
  <si>
    <t>so that (t_UART+t_fw)/2 ≈ 7.5 µs</t>
  </si>
  <si>
    <t>f_FPGA</t>
  </si>
  <si>
    <t>FPGA clock</t>
  </si>
  <si>
    <t>[1]</t>
  </si>
  <si>
    <t>LUT_dev</t>
  </si>
  <si>
    <t>LUTs of Spartan-6 XC6SLX45</t>
  </si>
  <si>
    <t>LUT</t>
  </si>
  <si>
    <t>Xilinx DS160</t>
  </si>
  <si>
    <t>LUT_64</t>
  </si>
  <si>
    <t>LUTs for six arms of 64 (validated)</t>
  </si>
  <si>
    <t>LUT_A7</t>
  </si>
  <si>
    <t>LUTs of Artix-7 XC7A35T</t>
  </si>
  <si>
    <t>Xilinx DS180</t>
  </si>
  <si>
    <t>k_THD</t>
  </si>
  <si>
    <t>staircase THD coefficient</t>
  </si>
  <si>
    <t>THD ≈ 0.816/N</t>
  </si>
  <si>
    <t>t_d</t>
  </si>
  <si>
    <t>dead time</t>
  </si>
  <si>
    <t>example</t>
  </si>
  <si>
    <t>f_c</t>
  </si>
  <si>
    <t>PWM carrier frequency (PWM variants)</t>
  </si>
  <si>
    <t>Twist</t>
  </si>
  <si>
    <t>§2.2–2.3 Processor cost model and communication frame models</t>
  </si>
  <si>
    <t>Protocol</t>
  </si>
  <si>
    <t>Frame-time model (payload b bits)</t>
  </si>
  <si>
    <t>t_frame (s) — formula</t>
  </si>
  <si>
    <t>t_frame (µs)</t>
  </si>
  <si>
    <t>Ref</t>
  </si>
  <si>
    <t>CAN 2.0, 1 Mbps</t>
  </si>
  <si>
    <t>(47 + b)·1.19 / 1e6 (worst-case stuffing)</t>
  </si>
  <si>
    <t>[3]</t>
  </si>
  <si>
    <t>CAN FD, 5 Mbps data</t>
  </si>
  <si>
    <t>29/1e6 + (b + 28)/5e6</t>
  </si>
  <si>
    <t>UART 8N1, 3 Mbps</t>
  </si>
  <si>
    <t>10·⌈b/8⌉ / 3e6</t>
  </si>
  <si>
    <t>SPI, 20 MHz</t>
  </si>
  <si>
    <t>b/20e6 + 2 µs (CS + service)</t>
  </si>
  <si>
    <t>Ethernet 100M</t>
  </si>
  <si>
    <t>max(672, b + 336)/100e6</t>
  </si>
  <si>
    <t>[5]</t>
  </si>
  <si>
    <t>Aurora 8B/10B, 3.125 G</t>
  </si>
  <si>
    <t>b/2.5e9 + 40 ns</t>
  </si>
  <si>
    <t>[7]</t>
  </si>
  <si>
    <t>Bus load on a shared bus: ρ(N) = 2N·t_frame / T1 (must stay &lt; ~0.5, [4])</t>
  </si>
  <si>
    <t>N</t>
  </si>
  <si>
    <t>ρ SPI</t>
  </si>
  <si>
    <t>ρ UART</t>
  </si>
  <si>
    <t>ρ CAN FD</t>
  </si>
  <si>
    <t>ρ Ethernet</t>
  </si>
  <si>
    <t>Calibrated layer cost laws (cycles per period)</t>
  </si>
  <si>
    <t>Layer / variant</t>
  </si>
  <si>
    <t>Equation</t>
  </si>
  <si>
    <t>Parameters used</t>
  </si>
  <si>
    <t>Value at N_ref</t>
  </si>
  <si>
    <t>Note</t>
  </si>
  <si>
    <t>CVB bubble, both arms</t>
  </si>
  <si>
    <t>C1 = c_CS·N(N−1) + 2·c_SEL·N + C0 = 12N² + 10N + 50</t>
  </si>
  <si>
    <t>c_CS, c_SEL, C0_A</t>
  </si>
  <si>
    <t>bubble: N(N−1)/2 CS per arm (Knuth TAOCP 3 §5.2.2)</t>
  </si>
  <si>
    <t>CVB merge-class, both arms</t>
  </si>
  <si>
    <t>C1 = 40·N·log2 N + 10N + 50</t>
  </si>
  <si>
    <t>CVB min/max scan (±1 rule)</t>
  </si>
  <si>
    <t>C1 = 200 + 6N</t>
  </si>
  <si>
    <t>Energy layer, centralized</t>
  </si>
  <si>
    <t>C2 = a2 + b2·N = 200 + 19N</t>
  </si>
  <si>
    <t>a2, b2</t>
  </si>
  <si>
    <t>mean and ΣE over N are O(N)</t>
  </si>
  <si>
    <t>Outer layer</t>
  </si>
  <si>
    <t>C3 = 800 (O(1))</t>
  </si>
  <si>
    <t>Decentralized τ1 per node</t>
  </si>
  <si>
    <t>C1 = 970 const</t>
  </si>
  <si>
    <t>Decentralized τ2 per node</t>
  </si>
  <si>
    <t>C2 = 220 const</t>
  </si>
  <si>
    <t>Decentralized τ3 per node</t>
  </si>
  <si>
    <t>C3 = 800 const</t>
  </si>
  <si>
    <t>§2.5 How each task budget is computed — five steps, three cases</t>
  </si>
  <si>
    <t>Step</t>
  </si>
  <si>
    <t>A : MCU + bubble (N_ref)</t>
  </si>
  <si>
    <t>B : FPGA + Bitonic (M = 16)</t>
  </si>
  <si>
    <t>C : Decentralized (any N)</t>
  </si>
  <si>
    <t>(1) Budget B1 (cyc)</t>
  </si>
  <si>
    <t>B_i = f_CPU · T_i</t>
  </si>
  <si>
    <t>n/a (always-on pipelines)</t>
  </si>
  <si>
    <t>(1) Budget B2 (cyc)</t>
  </si>
  <si>
    <t>n/a</t>
  </si>
  <si>
    <t>(1) Budget B3 (cyc)</t>
  </si>
  <si>
    <t>(2) Cost C1 (cyc)</t>
  </si>
  <si>
    <t>operation count × Table 2</t>
  </si>
  <si>
    <t>(2) Cost C2 (cyc)</t>
  </si>
  <si>
    <t>sub-µs HW</t>
  </si>
  <si>
    <t>(2) Cost C3 (cyc)</t>
  </si>
  <si>
    <t>(2) t1 (µs)</t>
  </si>
  <si>
    <t>t_i = C_i / f_CPU</t>
  </si>
  <si>
    <t>(3) Utilization U</t>
  </si>
  <si>
    <t>U = Σ C_i/(f_CPU·T_i) ≤ U_max</t>
  </si>
  <si>
    <t>(4) T_acq (µs)</t>
  </si>
  <si>
    <t>N·t_SPI (dual) / 2N·t_AUR / t_UART (2 links parallel)</t>
  </si>
  <si>
    <t>(4) Deadline path (µs)</t>
  </si>
  <si>
    <t>T_path = T_acq + t1 ≤ T1</t>
  </si>
  <si>
    <t>(4) Slack (µs)</t>
  </si>
  <si>
    <t>T1 − T_path</t>
  </si>
  <si>
    <t>(4) Makespan at critical instant (µs)</t>
  </si>
  <si>
    <t>T_acq + t1 + t2 + t3</t>
  </si>
  <si>
    <t>pipelines in parallel</t>
  </si>
  <si>
    <t>(5) T_dist (µs)</t>
  </si>
  <si>
    <t>one gate frame per arm / 0 (fabric) / 0 (self-gating)</t>
  </si>
  <si>
    <t>(5) Actuation latency (µs)</t>
  </si>
  <si>
    <t>T_act = T_acq + t1 + T_dist</t>
  </si>
  <si>
    <t>N_max rule</t>
  </si>
  <si>
    <t>largest N passing (3) and (4)</t>
  </si>
  <si>
    <t>≈128 (LUT ≤ device)</t>
  </si>
  <si>
    <t>64–90 (τ_conv ≤ 50 ms, pure ring)</t>
  </si>
  <si>
    <t>§3 Case A — Centralized MCU + bubble sort: N sweep</t>
  </si>
  <si>
    <t>Budget B1 = f_CPU·T1 ; times t = C/f_CPU ; DMA occupies the link not the CPU.</t>
  </si>
  <si>
    <t>C1 bubble (cyc) = 12N²+10N+50</t>
  </si>
  <si>
    <t>C1 merge (cyc) = 40N·log2N+10N+50</t>
  </si>
  <si>
    <t>C2 (cyc) = 200+19N</t>
  </si>
  <si>
    <t>C3 (cyc)</t>
  </si>
  <si>
    <t>t1 (µs) = C1/f_CPU</t>
  </si>
  <si>
    <t>t2 (µs)</t>
  </si>
  <si>
    <t>t3 (µs)</t>
  </si>
  <si>
    <t>T_acq single bus (µs) = 2N·t_SPI</t>
  </si>
  <si>
    <t>T_acq dual bus (µs) = N·t_SPI</t>
  </si>
  <si>
    <t>U_DMA = C1/B1 + C2/B2 + C3/B3</t>
  </si>
  <si>
    <t>U_block = U_DMA + 2N·t_SPI/T1</t>
  </si>
  <si>
    <t>Path single = T_acq + t1 (µs)</t>
  </si>
  <si>
    <t>Path dual = N·t_SPI + t1 (µs)</t>
  </si>
  <si>
    <t>Makespan dual = T_acq + t1 + t2 + t3 (µs)</t>
  </si>
  <si>
    <t>Actuation dual = T_acq + t1 + t_gate (µs)</t>
  </si>
  <si>
    <t>Slack dual = T1 − path (µs)</t>
  </si>
  <si>
    <t>PASS single (path ≤ T1)</t>
  </si>
  <si>
    <t>PASS dual (path ≤ T1)</t>
  </si>
  <si>
    <t>PASS compute only (U_DMA ≤ U_max)</t>
  </si>
  <si>
    <t>U merge (DMA)</t>
  </si>
  <si>
    <t>Results</t>
  </si>
  <si>
    <t>N_max A1 — blocking comm, U_block ≤ U_max</t>
  </si>
  <si>
    <t>largest N in 4..40 with U_block ≤ 1 (count of passes + 3)</t>
  </si>
  <si>
    <t>N_max A2 — single shared SPI bus, path ≤ T1</t>
  </si>
  <si>
    <t>path = 2N·t_SPI + C1/f_CPU</t>
  </si>
  <si>
    <t>N_max A2′ — one SPI bus per arm, path ≤ T1</t>
  </si>
  <si>
    <t>path = N·t_SPI + C1/f_CPU</t>
  </si>
  <si>
    <t>N_max A3 — parallel on-board ADC, U_DMA ≤ U_max</t>
  </si>
  <si>
    <t>compute only: 12N²+10N+50 term</t>
  </si>
  <si>
    <t>N_max A3 closed form ≈ √(U_max·B1/c_CS)</t>
  </si>
  <si>
    <t>dominant-term approximation</t>
  </si>
  <si>
    <t>N_max A3 at U_design = 0.7</t>
  </si>
  <si>
    <t>N = N_ref: C1 (cyc)</t>
  </si>
  <si>
    <t>N = N_ref: t1 (µs)</t>
  </si>
  <si>
    <t>N = N_ref: U_DMA</t>
  </si>
  <si>
    <t>17.39 % expected</t>
  </si>
  <si>
    <t>N = N_ref: U_block</t>
  </si>
  <si>
    <t>125 % expected → infeasible</t>
  </si>
  <si>
    <t>N = N_ref: comm fraction of deadline (dual)</t>
  </si>
  <si>
    <t>54 % expected</t>
  </si>
  <si>
    <t>N = N_ref: path dual (µs) / slack (µs)</t>
  </si>
  <si>
    <t>71.06 µs; slack in next row</t>
  </si>
  <si>
    <t>28.94 µs</t>
  </si>
  <si>
    <t>N = N_ref: actuation latency (µs)</t>
  </si>
  <si>
    <t>74.7 µs</t>
  </si>
  <si>
    <t>§4 Case B — Centralized FPGA + Bitonic sorting network (Ricco et al. [1])</t>
  </si>
  <si>
    <t>M = 2^p ≥ N. CS = compare-and-swap element. Report sort latencies from [1] eq. (7) are inputs; the CS-count extrapolation is a formula.</t>
  </si>
  <si>
    <t>N (= M)</t>
  </si>
  <si>
    <t>p = log2 M</t>
  </si>
  <si>
    <t>CS elements = M·p(p+1)/4</t>
  </si>
  <si>
    <t>Stages (depth) = p(p+1)/2</t>
  </si>
  <si>
    <t>Acquisition (µs) = 2N·t_AUR</t>
  </si>
  <si>
    <t>Sort latency 2 arms (µs) — [1] eq.(7) input</t>
  </si>
  <si>
    <t>Sort cross-check (µs) = 2 arms·3 clk·stages/f_FPGA</t>
  </si>
  <si>
    <t>Total / T1 = (acq + sort + 0.2)/T1</t>
  </si>
  <si>
    <t>LUT CS-count extrapolation = LUT_64·CS(M)/CS(64)</t>
  </si>
  <si>
    <t>LUT % of XC6SLX45</t>
  </si>
  <si>
    <t>LUT % report value (input)</t>
  </si>
  <si>
    <t>LUT % of Artix-7 XC7A35T</t>
  </si>
  <si>
    <t>Feasible (LUT ≤ device)</t>
  </si>
  <si>
    <t>Notes</t>
  </si>
  <si>
    <t>Column G: 3 clk per stage at maximum factorization (18 clk for 6 stages, M = 8 [1]) — shown as a cross-check; column F (from [1]) is used in the report.</t>
  </si>
  <si>
    <t>Column H adds 0.2 µs for selection + gate output. Time utilization stays ≈ 2 % at M = 16: the scheduling question is void; the binding quantity is LUT (columns I–L).</t>
  </si>
  <si>
    <t>Column I extrapolates LUTs proportionally to the CS count from the validated M = 64 point (6,200 LUT for six arms); the report values (column K) come from eqs. (1)–(7) of [1] and differ slightly at large M.</t>
  </si>
  <si>
    <t>N_max(B) = largest M with LUT ≤ device: ≈ 128 on Spartan-6 class; on the Artix-7 XC7A35T the same network already occupies ≈ 70 % (column L) before aggregation and transceiver logic.</t>
  </si>
  <si>
    <t>§5 Case C — Fully decentralized consensus control (per node, multi-rate)</t>
  </si>
  <si>
    <t>Per-node item</t>
  </si>
  <si>
    <t>Cycles</t>
  </si>
  <si>
    <t>Period (s)</t>
  </si>
  <si>
    <t>Time (µs) = C/f_CPU</t>
  </si>
  <si>
    <t>Utilization = C/(f_CPU·T)</t>
  </si>
  <si>
    <t>τ1 consensus law + frame handling + gate decision</t>
  </si>
  <si>
    <t>C1_C/(f_CPU·T1)</t>
  </si>
  <si>
    <t>τ2 arm-level replica</t>
  </si>
  <si>
    <t>C2_C/(f_CPU·T2)</t>
  </si>
  <si>
    <t>τ3 outer replica / broadcast reception</t>
  </si>
  <si>
    <t>C3_C/(f_CPU·T3)</t>
  </si>
  <si>
    <t>Total per-node utilization U_C</t>
  </si>
  <si>
    <t>Σ C_i/(f_CPU·T_i) — 5.88 %, independent of N</t>
  </si>
  <si>
    <t>UART frame time (µs) = 10·⌈b/8⌉/3e6</t>
  </si>
  <si>
    <t>Neighbour comm, 2 links in parallel (µs)</t>
  </si>
  <si>
    <t>link occupancy, not CPU load</t>
  </si>
  <si>
    <t>Neighbour comm, serialized (µs)</t>
  </si>
  <si>
    <t>Measurement → actuation (µs) = t_frame + t1 (distribution = 0)</t>
  </si>
  <si>
    <t>≈ 19.0 µs, invariant in N</t>
  </si>
  <si>
    <t>Where N enters: (i) consensus convergence on a ring, (ii) ring broadcast traversal of θ, ω from the leader</t>
  </si>
  <si>
    <t>λ2 = 2(1 − cos 2π/N)</t>
  </si>
  <si>
    <t>(2π/N)² approximation</t>
  </si>
  <si>
    <t>τ_conv (ms) = T1/(k_v·λ2)</t>
  </si>
  <si>
    <t>τ_conv ≤ 50 ms ?</t>
  </si>
  <si>
    <t>L_broadcast (ms) = (N/2)(t_UART + t_fw)</t>
  </si>
  <si>
    <t>L ≤ T2 ?</t>
  </si>
  <si>
    <t>L ≤ T3 ?</t>
  </si>
  <si>
    <t>N_max(C): largest N with τ_conv inside the capacitor-imbalance dynamics (tens of ms, here 50 ms) → 64–90 on a pure ring; chordal shortcuts raise λ2 and push beyond 256.</t>
  </si>
  <si>
    <t>§6 Computational scaling laws for N — layer cost per period (µs) for all variants</t>
  </si>
  <si>
    <t>A: CVB bubble (µs) O(N²)</t>
  </si>
  <si>
    <t>A: CVB merge (µs) O(N log N)</t>
  </si>
  <si>
    <t>A: CVB ±1 min/max (µs) O(N)</t>
  </si>
  <si>
    <t>A: energy 200+19N (µs) O(N)</t>
  </si>
  <si>
    <t>outer 800 (µs) O(1)</t>
  </si>
  <si>
    <t>C: τ1 970 (µs) O(1)</t>
  </si>
  <si>
    <t>C: τ2 220 (µs) O(1)</t>
  </si>
  <si>
    <t>B: Bitonic latency 2 arms (µs) ≈ 2·3·p(p+1)/2 /f_FPGA</t>
  </si>
  <si>
    <t>T1 budget (µs)</t>
  </si>
  <si>
    <t>T1 at f_ctrl = 4·N·f0 (µs) (±1 rule)</t>
  </si>
  <si>
    <t>Acq single SPI (µs) O(N)</t>
  </si>
  <si>
    <t>Acq Aurora (µs) O(N)</t>
  </si>
  <si>
    <t>C: comm O(1) (µs)</t>
  </si>
  <si>
    <t>Table 6.2 reference values (formulas)</t>
  </si>
  <si>
    <t>Quantity</t>
  </si>
  <si>
    <t>A : MCU + bubble @N_ref</t>
  </si>
  <si>
    <t>B : FPGA M=16</t>
  </si>
  <si>
    <t>C : per node</t>
  </si>
  <si>
    <t>C1 (cyc)</t>
  </si>
  <si>
    <t>A: 12N²+10N+50 · B: clk = 2 arms × 3 clk × stages · C: const</t>
  </si>
  <si>
    <t>C2 (cyc)</t>
  </si>
  <si>
    <t>adder tree</t>
  </si>
  <si>
    <t>200+19N / O(N) HW / const</t>
  </si>
  <si>
    <t>pipelined</t>
  </si>
  <si>
    <t>O(1)</t>
  </si>
  <si>
    <t>Acq / comm (µs)</t>
  </si>
  <si>
    <t>N·t_SPI dual bus / 2N·40 ns / one UART frame</t>
  </si>
  <si>
    <t>U</t>
  </si>
  <si>
    <t>Σ C_i/(f_CPU·T_i)</t>
  </si>
  <si>
    <t>N_max</t>
  </si>
  <si>
    <t>path rule / LUT rule / convergence rule</t>
  </si>
  <si>
    <t>§7 Rate-Monotonic schedulability and response-time analysis (Case A at N_ref)</t>
  </si>
  <si>
    <t>n tasks</t>
  </si>
  <si>
    <t>Liu–Layland bound n(2^(1/n) − 1)</t>
  </si>
  <si>
    <t>[12] — 78.0 % for n = 3</t>
  </si>
  <si>
    <t>Harmonic-period bound</t>
  </si>
  <si>
    <t>T2/T1 and T3/T2 integers → 100 %</t>
  </si>
  <si>
    <t>T2/T1</t>
  </si>
  <si>
    <t>T3/T2</t>
  </si>
  <si>
    <t>Task</t>
  </si>
  <si>
    <t>C (µs)</t>
  </si>
  <si>
    <t>T (µs)</t>
  </si>
  <si>
    <t>U_i</t>
  </si>
  <si>
    <t>τ1 CVB</t>
  </si>
  <si>
    <t>τ2 energy</t>
  </si>
  <si>
    <t>τ3 outer</t>
  </si>
  <si>
    <t>U total</t>
  </si>
  <si>
    <t>Response time of τ3: R = C3 + ⌈R/T1⌉·C1 + ⌈R/T2⌉·C2 (fixed-point iteration)</t>
  </si>
  <si>
    <t>Iteration</t>
  </si>
  <si>
    <t>R_k (µs)</t>
  </si>
  <si>
    <t>R_{k+1} (µs)</t>
  </si>
  <si>
    <t>converged?</t>
  </si>
  <si>
    <t>Worst-case response time of τ3 (µs) = 17.06 + 2.85 + 4.71 ≈ 24.7</t>
  </si>
  <si>
    <t>Utilization ceiling retained for the project</t>
  </si>
  <si>
    <t>reserve for communication DMA service</t>
  </si>
  <si>
    <t>§8 Comparative results — N_max and verdicts (pulled from the case sheets)</t>
  </si>
  <si>
    <t>Criterion</t>
  </si>
  <si>
    <t>A : MCU + bubble</t>
  </si>
  <si>
    <t>B : FPGA + Bitonic</t>
  </si>
  <si>
    <t>C : Decentralized</t>
  </si>
  <si>
    <t>Rule / equation</t>
  </si>
  <si>
    <t>Binding wall</t>
  </si>
  <si>
    <t>communication path, then O(N²) compute</t>
  </si>
  <si>
    <t>LUT resources O(N·log²N)</t>
  </si>
  <si>
    <t>consensus convergence O(N²)</t>
  </si>
  <si>
    <t>see §6</t>
  </si>
  <si>
    <t>N_max — shared bus / path</t>
  </si>
  <si>
    <t>2N·t_SPI + C1/f_CPU ≤ T1</t>
  </si>
  <si>
    <t>N_max — one bus per arm</t>
  </si>
  <si>
    <t>N·t_SPI + C1/f_CPU ≤ T1</t>
  </si>
  <si>
    <t>N_max — compute only / resources</t>
  </si>
  <si>
    <t>U ≤ 1 / LUT ≤ device</t>
  </si>
  <si>
    <t>N_max — dynamics (pure ring, τ ≤ 50 ms)</t>
  </si>
  <si>
    <t>largest N of the sweep with τ_conv ≤ 50 ms (report: 64–90)</t>
  </si>
  <si>
    <t>U at N_ref / per node</t>
  </si>
  <si>
    <t>Comm fraction of T1 at N_ref</t>
  </si>
  <si>
    <t>T_acq / T1</t>
  </si>
  <si>
    <t>Actuation latency (µs)</t>
  </si>
  <si>
    <t>T_acq + t1 + T_dist</t>
  </si>
  <si>
    <t>Single point of failure</t>
  </si>
  <si>
    <t>yes (controller + bus)</t>
  </si>
  <si>
    <t>yes (FPGA + link)</t>
  </si>
  <si>
    <t>no (bypass + renumbering)</t>
  </si>
  <si>
    <t>Cost / openness</t>
  </si>
  <si>
    <t>lowest, open</t>
  </si>
  <si>
    <t>highest, vendor-bound</t>
  </si>
  <si>
    <t>moderate, open, per module</t>
  </si>
  <si>
    <t>§9 Harmonic and synchronization considerations</t>
  </si>
  <si>
    <t>THD_q = k_THD/N</t>
  </si>
  <si>
    <t>meets 5 % (IEEE 519)</t>
  </si>
  <si>
    <t>meets 3 %</t>
  </si>
  <si>
    <t>f_ctrl ≥ 4·N·f0 (kHz) — ±1 rule</t>
  </si>
  <si>
    <t>avg device switching ≤ f_ctrl/N + 8·f0 (Hz)</t>
  </si>
  <si>
    <t>N_min for 5 % = k_THD/0.05</t>
  </si>
  <si>
    <t>≈ 16.3 → N ≥ 17 strictly, N ≈ 16 in the report</t>
  </si>
  <si>
    <t>N_min for 3 % = k_THD/0.03</t>
  </si>
  <si>
    <t>≈ 27.2</t>
  </si>
  <si>
    <t>Dead-time distortion ΔD = 2·t_d·f_c (PWM variants)</t>
  </si>
  <si>
    <t>negligible for NLM (device switching ~ f0 class)</t>
  </si>
  <si>
    <t>Rotation tones (Case C): f_step = 1/(HOLD·T1), f_step/N — HOLD =</t>
  </si>
  <si>
    <t>Hz = f_step</t>
  </si>
  <si>
    <t>Scan skew error ΔV = i·ΔT/C (A: sequential sampling of 2N channels) — i (A), ΔT (s), C (F):</t>
  </si>
  <si>
    <t>mV</t>
  </si>
  <si>
    <t>Window collision: harmonic lower bound N ≥ 16 vs Case-A shared-bus upper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</si>
</sst>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###"/>
    <numFmt numFmtId="165" formatCode="0.000E+00"/>
    <numFmt numFmtId="166" formatCode="0.0"/>
    <numFmt numFmtId="167" formatCode="0.0%"/>
    <numFmt numFmtId="168" formatCode="0.0E+00"/>
    <numFmt numFmtId="169" formatCode="0.000%"/>
    <numFmt numFmtId="170" formatCode="0.0000"/>
    <numFmt numFmtId="171" formatCode="0.000"/>
  </numFmts>
  <fonts count="6" x14ac:knownFonts="1">
    <font>
      <sz val="11"/>
      <color theme="1"/>
      <name val="Calibri"/>
      <family val="2"/>
      <charset val="1"/>
    </font>
    <font>
      <b/>
      <sz val="13"/>
      <name val="Times New Roman"/>
      <charset val="1"/>
    </font>
    <font>
      <b/>
      <sz val="10"/>
      <name val="Times New Roman"/>
      <charset val="1"/>
    </font>
    <font>
      <sz val="10"/>
      <name val="Times New Roman"/>
      <charset val="1"/>
    </font>
    <font>
      <i/>
      <sz val="9"/>
      <name val="Times New Roman"/>
      <charset val="1"/>
    </font>
    <font>
      <sz val="10"/>
      <color rgb="FF0000FF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11" fontId="5" fillId="3" borderId="1" xfId="0" applyNumberFormat="1" applyFont="1" applyFill="1" applyBorder="1" applyAlignment="1">
      <alignment vertical="top" wrapText="1"/>
    </xf>
    <xf numFmtId="11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4" fontId="3" fillId="0" borderId="1" xfId="0" applyNumberFormat="1" applyFont="1" applyBorder="1" applyAlignment="1">
      <alignment vertical="top" wrapText="1"/>
    </xf>
    <xf numFmtId="10" fontId="3" fillId="0" borderId="1" xfId="0" applyNumberFormat="1" applyFont="1" applyBorder="1" applyAlignment="1">
      <alignment vertical="top" wrapText="1"/>
    </xf>
    <xf numFmtId="166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2" fontId="5" fillId="3" borderId="1" xfId="0" applyNumberFormat="1" applyFont="1" applyFill="1" applyBorder="1" applyAlignment="1">
      <alignment vertical="top" wrapText="1"/>
    </xf>
    <xf numFmtId="167" fontId="3" fillId="0" borderId="1" xfId="0" applyNumberFormat="1" applyFont="1" applyBorder="1" applyAlignment="1">
      <alignment vertical="top" wrapText="1"/>
    </xf>
    <xf numFmtId="167" fontId="5" fillId="3" borderId="1" xfId="0" applyNumberFormat="1" applyFont="1" applyFill="1" applyBorder="1" applyAlignment="1">
      <alignment vertical="top" wrapText="1"/>
    </xf>
    <xf numFmtId="0" fontId="3" fillId="0" borderId="0" xfId="0" applyFont="1"/>
    <xf numFmtId="168" fontId="3" fillId="0" borderId="1" xfId="0" applyNumberFormat="1" applyFont="1" applyBorder="1" applyAlignment="1">
      <alignment vertical="top" wrapText="1"/>
    </xf>
    <xf numFmtId="169" fontId="3" fillId="0" borderId="1" xfId="0" applyNumberFormat="1" applyFont="1" applyBorder="1" applyAlignment="1">
      <alignment vertical="top" wrapText="1"/>
    </xf>
    <xf numFmtId="170" fontId="3" fillId="0" borderId="1" xfId="0" applyNumberFormat="1" applyFont="1" applyBorder="1" applyAlignment="1">
      <alignment vertical="top" wrapText="1"/>
    </xf>
    <xf numFmtId="171" fontId="3" fillId="0" borderId="1" xfId="0" applyNumberFormat="1" applyFont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0" fillId="0" borderId="0" xfId="0" applyFont="1"/>
    <xf numFmtId="168" fontId="5" fillId="3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87A44B"/>
      <rgbColor rgb="FF000080"/>
      <rgbColor rgb="FF698039"/>
      <rgbColor rgb="FF800080"/>
      <rgbColor rgb="FF7E9945"/>
      <rgbColor rgb="FFBDCFA2"/>
      <rgbColor rgb="FF878787"/>
      <rgbColor rgb="FFAFC689"/>
      <rgbColor rgb="FF993366"/>
      <rgbColor rgb="FFFFF2CC"/>
      <rgbColor rgb="FFD9E2F3"/>
      <rgbColor rgb="FF660066"/>
      <rgbColor rgb="FF8AA84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819C47"/>
      <rgbColor rgb="FF0000FF"/>
      <rgbColor rgb="FF00CCFF"/>
      <rgbColor rgb="FFC7D6B1"/>
      <rgbColor rgb="FFD6E0C7"/>
      <rgbColor rgb="FFFFFF99"/>
      <rgbColor rgb="FFC0D2A7"/>
      <rgbColor rgb="FFA9C37E"/>
      <rgbColor rgb="FFB3C992"/>
      <rgbColor rgb="FFCAD8B5"/>
      <rgbColor rgb="FF3366FF"/>
      <rgbColor rgb="FF8EAD4F"/>
      <rgbColor rgb="FF98B855"/>
      <rgbColor rgb="FFA0BD69"/>
      <rgbColor rgb="FF93B352"/>
      <rgbColor rgb="FFFF6600"/>
      <rgbColor rgb="FF789142"/>
      <rgbColor rgb="FF999999"/>
      <rgbColor rgb="FF003366"/>
      <rgbColor rgb="FF758E4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A — utilization U(N)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U_DMA (bubble)</c:v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circle"/>
            <c:size val="4"/>
            <c:spPr>
              <a:solidFill>
                <a:srgbClr val="7E99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A'!$K$5:$K$47</c:f>
              <c:numCache>
                <c:formatCode>0.00%</c:formatCode>
                <c:ptCount val="43"/>
                <c:pt idx="0">
                  <c:v>1.8682352941176469E-2</c:v>
                </c:pt>
                <c:pt idx="1">
                  <c:v>2.5735294117647058E-2</c:v>
                </c:pt>
                <c:pt idx="2">
                  <c:v>3.4200000000000001E-2</c:v>
                </c:pt>
                <c:pt idx="3">
                  <c:v>4.4076470588235293E-2</c:v>
                </c:pt>
                <c:pt idx="4">
                  <c:v>5.5364705882352941E-2</c:v>
                </c:pt>
                <c:pt idx="5">
                  <c:v>6.806470588235293E-2</c:v>
                </c:pt>
                <c:pt idx="6">
                  <c:v>8.2176470588235281E-2</c:v>
                </c:pt>
                <c:pt idx="7">
                  <c:v>9.7699999999999995E-2</c:v>
                </c:pt>
                <c:pt idx="8">
                  <c:v>0.11463529411764706</c:v>
                </c:pt>
                <c:pt idx="9">
                  <c:v>0.13298235294117647</c:v>
                </c:pt>
                <c:pt idx="10">
                  <c:v>0.15274117647058824</c:v>
                </c:pt>
                <c:pt idx="11">
                  <c:v>0.17391176470588235</c:v>
                </c:pt>
                <c:pt idx="12">
                  <c:v>0.19649411764705882</c:v>
                </c:pt>
                <c:pt idx="13">
                  <c:v>0.22048823529411765</c:v>
                </c:pt>
                <c:pt idx="14">
                  <c:v>0.24589411764705882</c:v>
                </c:pt>
                <c:pt idx="15">
                  <c:v>0.27271176470588238</c:v>
                </c:pt>
                <c:pt idx="16">
                  <c:v>0.30094117647058821</c:v>
                </c:pt>
                <c:pt idx="17">
                  <c:v>0.33058235294117644</c:v>
                </c:pt>
                <c:pt idx="18">
                  <c:v>0.36163529411764705</c:v>
                </c:pt>
                <c:pt idx="19">
                  <c:v>0.39410000000000001</c:v>
                </c:pt>
                <c:pt idx="20">
                  <c:v>0.42797647058823529</c:v>
                </c:pt>
                <c:pt idx="21">
                  <c:v>0.46326470588235291</c:v>
                </c:pt>
                <c:pt idx="22">
                  <c:v>0.49996470588235292</c:v>
                </c:pt>
                <c:pt idx="23">
                  <c:v>0.53807647058823527</c:v>
                </c:pt>
                <c:pt idx="24">
                  <c:v>0.5776</c:v>
                </c:pt>
                <c:pt idx="25">
                  <c:v>0.61853529411764707</c:v>
                </c:pt>
                <c:pt idx="26">
                  <c:v>0.66088235294117648</c:v>
                </c:pt>
                <c:pt idx="27">
                  <c:v>0.70464117647058822</c:v>
                </c:pt>
                <c:pt idx="28">
                  <c:v>0.7498117647058824</c:v>
                </c:pt>
                <c:pt idx="29">
                  <c:v>0.79639411764705892</c:v>
                </c:pt>
                <c:pt idx="30">
                  <c:v>0.84438823529411755</c:v>
                </c:pt>
                <c:pt idx="31">
                  <c:v>0.89379411764705874</c:v>
                </c:pt>
                <c:pt idx="32">
                  <c:v>0.94461176470588237</c:v>
                </c:pt>
                <c:pt idx="33">
                  <c:v>0.99684117647058823</c:v>
                </c:pt>
                <c:pt idx="34">
                  <c:v>1.0504823529411764</c:v>
                </c:pt>
                <c:pt idx="35">
                  <c:v>1.1055352941176471</c:v>
                </c:pt>
                <c:pt idx="36">
                  <c:v>1.1619999999999999</c:v>
                </c:pt>
                <c:pt idx="37">
                  <c:v>1.6645411764705884</c:v>
                </c:pt>
                <c:pt idx="38">
                  <c:v>2.9406823529411765</c:v>
                </c:pt>
                <c:pt idx="39">
                  <c:v>6.5772000000000004</c:v>
                </c:pt>
                <c:pt idx="40">
                  <c:v>11.659364705882354</c:v>
                </c:pt>
                <c:pt idx="41">
                  <c:v>26.16063529411765</c:v>
                </c:pt>
                <c:pt idx="42">
                  <c:v>46.444494117647061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A-43FB-8B2B-026FF6EA2B05}"/>
            </c:ext>
          </c:extLst>
        </c:ser>
        <c:ser>
          <c:idx val="1"/>
          <c:order val="1"/>
          <c:tx>
            <c:v>U_block (bubble + SPI in CPU)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A'!$L$5:$L$47</c:f>
              <c:numCache>
                <c:formatCode>0.00%</c:formatCode>
                <c:ptCount val="43"/>
                <c:pt idx="0">
                  <c:v>0.30668235294117646</c:v>
                </c:pt>
                <c:pt idx="1">
                  <c:v>0.38573529411764707</c:v>
                </c:pt>
                <c:pt idx="2">
                  <c:v>0.4662</c:v>
                </c:pt>
                <c:pt idx="3">
                  <c:v>0.54807647058823528</c:v>
                </c:pt>
                <c:pt idx="4">
                  <c:v>0.63136470588235294</c:v>
                </c:pt>
                <c:pt idx="5">
                  <c:v>0.71606470588235294</c:v>
                </c:pt>
                <c:pt idx="6">
                  <c:v>0.80217647058823527</c:v>
                </c:pt>
                <c:pt idx="7">
                  <c:v>0.88969999999999994</c:v>
                </c:pt>
                <c:pt idx="8">
                  <c:v>0.97863529411764705</c:v>
                </c:pt>
                <c:pt idx="9">
                  <c:v>1.0689823529411764</c:v>
                </c:pt>
                <c:pt idx="10">
                  <c:v>1.1607411764705882</c:v>
                </c:pt>
                <c:pt idx="11">
                  <c:v>1.2539117647058822</c:v>
                </c:pt>
                <c:pt idx="12">
                  <c:v>1.3484941176470588</c:v>
                </c:pt>
                <c:pt idx="13">
                  <c:v>1.4444882352941177</c:v>
                </c:pt>
                <c:pt idx="14">
                  <c:v>1.5418941176470589</c:v>
                </c:pt>
                <c:pt idx="15">
                  <c:v>1.6407117647058822</c:v>
                </c:pt>
                <c:pt idx="16">
                  <c:v>1.7409411764705882</c:v>
                </c:pt>
                <c:pt idx="17">
                  <c:v>1.8425823529411762</c:v>
                </c:pt>
                <c:pt idx="18">
                  <c:v>1.9456352941176469</c:v>
                </c:pt>
                <c:pt idx="19">
                  <c:v>2.0500999999999996</c:v>
                </c:pt>
                <c:pt idx="20">
                  <c:v>2.1559764705882354</c:v>
                </c:pt>
                <c:pt idx="21">
                  <c:v>2.263264705882353</c:v>
                </c:pt>
                <c:pt idx="22">
                  <c:v>2.3719647058823528</c:v>
                </c:pt>
                <c:pt idx="23">
                  <c:v>2.4820764705882352</c:v>
                </c:pt>
                <c:pt idx="24">
                  <c:v>2.5935999999999999</c:v>
                </c:pt>
                <c:pt idx="25">
                  <c:v>2.7065352941176468</c:v>
                </c:pt>
                <c:pt idx="26">
                  <c:v>2.820882352941176</c:v>
                </c:pt>
                <c:pt idx="27">
                  <c:v>2.9366411764705882</c:v>
                </c:pt>
                <c:pt idx="28">
                  <c:v>3.0538117647058822</c:v>
                </c:pt>
                <c:pt idx="29">
                  <c:v>3.1723941176470589</c:v>
                </c:pt>
                <c:pt idx="30">
                  <c:v>3.2923882352941174</c:v>
                </c:pt>
                <c:pt idx="31">
                  <c:v>3.4137941176470585</c:v>
                </c:pt>
                <c:pt idx="32">
                  <c:v>3.5366117647058823</c:v>
                </c:pt>
                <c:pt idx="33">
                  <c:v>3.6608411764705879</c:v>
                </c:pt>
                <c:pt idx="34">
                  <c:v>3.7864823529411762</c:v>
                </c:pt>
                <c:pt idx="35">
                  <c:v>3.9135352941176471</c:v>
                </c:pt>
                <c:pt idx="36">
                  <c:v>4.0419999999999998</c:v>
                </c:pt>
                <c:pt idx="37">
                  <c:v>5.1205411764705886</c:v>
                </c:pt>
                <c:pt idx="38">
                  <c:v>7.5486823529411762</c:v>
                </c:pt>
                <c:pt idx="39">
                  <c:v>13.4892</c:v>
                </c:pt>
                <c:pt idx="40">
                  <c:v>20.875364705882355</c:v>
                </c:pt>
                <c:pt idx="41">
                  <c:v>39.984635294117652</c:v>
                </c:pt>
                <c:pt idx="42">
                  <c:v>64.876494117647056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A-43FB-8B2B-026FF6EA2B05}"/>
            </c:ext>
          </c:extLst>
        </c:ser>
        <c:ser>
          <c:idx val="2"/>
          <c:order val="2"/>
          <c:tx>
            <c:v>U_DMA (merge)</c:v>
          </c:tx>
          <c:spPr>
            <a:ln w="47520">
              <a:solidFill>
                <a:srgbClr val="C0D2A7"/>
              </a:solidFill>
              <a:round/>
            </a:ln>
          </c:spPr>
          <c:marker>
            <c:symbol val="circle"/>
            <c:size val="4"/>
            <c:spPr>
              <a:solidFill>
                <a:srgbClr val="C0D2A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A'!$U$5:$U$47</c:f>
              <c:numCache>
                <c:formatCode>0.00%</c:formatCode>
                <c:ptCount val="43"/>
                <c:pt idx="0">
                  <c:v>2.6211764705882351E-2</c:v>
                </c:pt>
                <c:pt idx="1">
                  <c:v>3.5405036410439551E-2</c:v>
                </c:pt>
                <c:pt idx="2">
                  <c:v>4.5281823539592793E-2</c:v>
                </c:pt>
                <c:pt idx="3">
                  <c:v>5.5727022245654657E-2</c:v>
                </c:pt>
                <c:pt idx="4">
                  <c:v>6.6658823529411756E-2</c:v>
                </c:pt>
                <c:pt idx="5">
                  <c:v>7.8016058854072493E-2</c:v>
                </c:pt>
                <c:pt idx="6">
                  <c:v>8.9751249291467342E-2</c:v>
                </c:pt>
                <c:pt idx="7">
                  <c:v>0.10182646542355359</c:v>
                </c:pt>
                <c:pt idx="8">
                  <c:v>0.11421070590271501</c:v>
                </c:pt>
                <c:pt idx="9">
                  <c:v>0.12687815608431577</c:v>
                </c:pt>
                <c:pt idx="10">
                  <c:v>0.13980698566777988</c:v>
                </c:pt>
                <c:pt idx="11">
                  <c:v>0.15297849160971241</c:v>
                </c:pt>
                <c:pt idx="12">
                  <c:v>0.16637647058823529</c:v>
                </c:pt>
                <c:pt idx="13">
                  <c:v>0.17998674894413122</c:v>
                </c:pt>
                <c:pt idx="14">
                  <c:v>0.19379682359049794</c:v>
                </c:pt>
                <c:pt idx="15">
                  <c:v>0.20779558295394851</c:v>
                </c:pt>
                <c:pt idx="16">
                  <c:v>0.22197308681822883</c:v>
                </c:pt>
                <c:pt idx="17">
                  <c:v>0.23632039030200933</c:v>
                </c:pt>
                <c:pt idx="18">
                  <c:v>0.25082940143534244</c:v>
                </c:pt>
                <c:pt idx="19">
                  <c:v>0.26549276468073246</c:v>
                </c:pt>
                <c:pt idx="20">
                  <c:v>0.28030376474660645</c:v>
                </c:pt>
                <c:pt idx="21">
                  <c:v>0.29525624645733672</c:v>
                </c:pt>
                <c:pt idx="22">
                  <c:v>0.3103445474627492</c:v>
                </c:pt>
                <c:pt idx="23">
                  <c:v>0.32556344131391451</c:v>
                </c:pt>
                <c:pt idx="24">
                  <c:v>0.3409080889826186</c:v>
                </c:pt>
                <c:pt idx="25">
                  <c:v>0.3563739973145873</c:v>
                </c:pt>
                <c:pt idx="26">
                  <c:v>0.37195698321942483</c:v>
                </c:pt>
                <c:pt idx="27">
                  <c:v>0.38765314263998391</c:v>
                </c:pt>
                <c:pt idx="28">
                  <c:v>0.40345882352941176</c:v>
                </c:pt>
                <c:pt idx="29">
                  <c:v>0.41937060220900935</c:v>
                </c:pt>
                <c:pt idx="30">
                  <c:v>0.43538526259414484</c:v>
                </c:pt>
                <c:pt idx="31">
                  <c:v>0.45149977786605605</c:v>
                </c:pt>
                <c:pt idx="32">
                  <c:v>0.46771129423981933</c:v>
                </c:pt>
                <c:pt idx="33">
                  <c:v>0.4840171165371086</c:v>
                </c:pt>
                <c:pt idx="34">
                  <c:v>0.50041469531966187</c:v>
                </c:pt>
                <c:pt idx="35">
                  <c:v>0.51690161537794754</c:v>
                </c:pt>
                <c:pt idx="36">
                  <c:v>0.53347558540116358</c:v>
                </c:pt>
                <c:pt idx="37">
                  <c:v>0.66896047066968356</c:v>
                </c:pt>
                <c:pt idx="38">
                  <c:v>0.95291764705882354</c:v>
                </c:pt>
                <c:pt idx="39">
                  <c:v>1.559215058986426</c:v>
                </c:pt>
                <c:pt idx="40">
                  <c:v>2.2024235294117647</c:v>
                </c:pt>
                <c:pt idx="41">
                  <c:v>3.5656065885610868</c:v>
                </c:pt>
                <c:pt idx="42">
                  <c:v>5.0026117647058825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A-43FB-8B2B-026FF6EA2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97392"/>
        <c:axId val="41202132"/>
      </c:scatterChart>
      <c:valAx>
        <c:axId val="8039739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02132"/>
        <c:crosses val="autoZero"/>
        <c:crossBetween val="midCat"/>
      </c:valAx>
      <c:valAx>
        <c:axId val="4120213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973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A — deadline path vs N (T1 = 100 µs)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path single bus</c:v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circle"/>
            <c:size val="4"/>
            <c:spPr>
              <a:solidFill>
                <a:srgbClr val="7E99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A'!$M$5:$M$47</c:f>
              <c:numCache>
                <c:formatCode>0.00</c:formatCode>
                <c:ptCount val="43"/>
                <c:pt idx="0">
                  <c:v>30.458823529411763</c:v>
                </c:pt>
                <c:pt idx="1">
                  <c:v>38.352941176470587</c:v>
                </c:pt>
                <c:pt idx="2">
                  <c:v>46.388235294117649</c:v>
                </c:pt>
                <c:pt idx="3">
                  <c:v>54.564705882352939</c:v>
                </c:pt>
                <c:pt idx="4">
                  <c:v>62.882352941176464</c:v>
                </c:pt>
                <c:pt idx="5">
                  <c:v>71.341176470588238</c:v>
                </c:pt>
                <c:pt idx="6">
                  <c:v>79.941176470588232</c:v>
                </c:pt>
                <c:pt idx="7">
                  <c:v>88.682352941176475</c:v>
                </c:pt>
                <c:pt idx="8">
                  <c:v>97.564705882352939</c:v>
                </c:pt>
                <c:pt idx="9">
                  <c:v>106.58823529411764</c:v>
                </c:pt>
                <c:pt idx="10">
                  <c:v>115.75294117647059</c:v>
                </c:pt>
                <c:pt idx="11">
                  <c:v>125.05882352941177</c:v>
                </c:pt>
                <c:pt idx="12">
                  <c:v>134.50588235294117</c:v>
                </c:pt>
                <c:pt idx="13">
                  <c:v>144.09411764705882</c:v>
                </c:pt>
                <c:pt idx="14">
                  <c:v>153.8235294117647</c:v>
                </c:pt>
                <c:pt idx="15">
                  <c:v>163.69411764705882</c:v>
                </c:pt>
                <c:pt idx="16">
                  <c:v>173.70588235294119</c:v>
                </c:pt>
                <c:pt idx="17">
                  <c:v>183.85882352941175</c:v>
                </c:pt>
                <c:pt idx="18">
                  <c:v>194.15294117647059</c:v>
                </c:pt>
                <c:pt idx="19">
                  <c:v>204.58823529411762</c:v>
                </c:pt>
                <c:pt idx="20">
                  <c:v>215.16470588235296</c:v>
                </c:pt>
                <c:pt idx="21">
                  <c:v>225.88235294117644</c:v>
                </c:pt>
                <c:pt idx="22">
                  <c:v>236.74117647058821</c:v>
                </c:pt>
                <c:pt idx="23">
                  <c:v>247.74117647058821</c:v>
                </c:pt>
                <c:pt idx="24">
                  <c:v>258.88235294117646</c:v>
                </c:pt>
                <c:pt idx="25">
                  <c:v>270.16470588235291</c:v>
                </c:pt>
                <c:pt idx="26">
                  <c:v>281.58823529411762</c:v>
                </c:pt>
                <c:pt idx="27">
                  <c:v>293.15294117647056</c:v>
                </c:pt>
                <c:pt idx="28">
                  <c:v>304.85882352941172</c:v>
                </c:pt>
                <c:pt idx="29">
                  <c:v>316.70588235294116</c:v>
                </c:pt>
                <c:pt idx="30">
                  <c:v>328.69411764705882</c:v>
                </c:pt>
                <c:pt idx="31">
                  <c:v>340.8235294117647</c:v>
                </c:pt>
                <c:pt idx="32">
                  <c:v>353.09411764705879</c:v>
                </c:pt>
                <c:pt idx="33">
                  <c:v>365.50588235294117</c:v>
                </c:pt>
                <c:pt idx="34">
                  <c:v>378.05882352941171</c:v>
                </c:pt>
                <c:pt idx="35">
                  <c:v>390.75294117647059</c:v>
                </c:pt>
                <c:pt idx="36">
                  <c:v>403.58823529411768</c:v>
                </c:pt>
                <c:pt idx="37">
                  <c:v>511.35294117647061</c:v>
                </c:pt>
                <c:pt idx="38">
                  <c:v>753.98823529411766</c:v>
                </c:pt>
                <c:pt idx="39">
                  <c:v>1347.6823529411765</c:v>
                </c:pt>
                <c:pt idx="40">
                  <c:v>2085.9411764705883</c:v>
                </c:pt>
                <c:pt idx="41">
                  <c:v>3996.1529411764704</c:v>
                </c:pt>
                <c:pt idx="42">
                  <c:v>6484.623529411765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C-4B32-B1DE-709D74B977B2}"/>
            </c:ext>
          </c:extLst>
        </c:ser>
        <c:ser>
          <c:idx val="1"/>
          <c:order val="1"/>
          <c:tx>
            <c:v>path dual bus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A'!$N$5:$N$47</c:f>
              <c:numCache>
                <c:formatCode>0.00</c:formatCode>
                <c:ptCount val="43"/>
                <c:pt idx="0">
                  <c:v>16.058823529411764</c:v>
                </c:pt>
                <c:pt idx="1">
                  <c:v>20.352941176470587</c:v>
                </c:pt>
                <c:pt idx="2">
                  <c:v>24.788235294117648</c:v>
                </c:pt>
                <c:pt idx="3">
                  <c:v>29.36470588235294</c:v>
                </c:pt>
                <c:pt idx="4">
                  <c:v>34.082352941176467</c:v>
                </c:pt>
                <c:pt idx="5">
                  <c:v>38.941176470588232</c:v>
                </c:pt>
                <c:pt idx="6">
                  <c:v>43.941176470588232</c:v>
                </c:pt>
                <c:pt idx="7">
                  <c:v>49.082352941176474</c:v>
                </c:pt>
                <c:pt idx="8">
                  <c:v>54.364705882352943</c:v>
                </c:pt>
                <c:pt idx="9">
                  <c:v>59.788235294117641</c:v>
                </c:pt>
                <c:pt idx="10">
                  <c:v>65.35294117647058</c:v>
                </c:pt>
                <c:pt idx="11">
                  <c:v>71.058823529411768</c:v>
                </c:pt>
                <c:pt idx="12">
                  <c:v>76.905882352941177</c:v>
                </c:pt>
                <c:pt idx="13">
                  <c:v>82.89411764705882</c:v>
                </c:pt>
                <c:pt idx="14">
                  <c:v>89.023529411764699</c:v>
                </c:pt>
                <c:pt idx="15">
                  <c:v>95.294117647058812</c:v>
                </c:pt>
                <c:pt idx="16">
                  <c:v>101.70588235294117</c:v>
                </c:pt>
                <c:pt idx="17">
                  <c:v>108.25882352941176</c:v>
                </c:pt>
                <c:pt idx="18">
                  <c:v>114.95294117647059</c:v>
                </c:pt>
                <c:pt idx="19">
                  <c:v>121.78823529411764</c:v>
                </c:pt>
                <c:pt idx="20">
                  <c:v>128.76470588235293</c:v>
                </c:pt>
                <c:pt idx="21">
                  <c:v>135.88235294117646</c:v>
                </c:pt>
                <c:pt idx="22">
                  <c:v>143.14117647058822</c:v>
                </c:pt>
                <c:pt idx="23">
                  <c:v>150.54117647058823</c:v>
                </c:pt>
                <c:pt idx="24">
                  <c:v>158.08235294117645</c:v>
                </c:pt>
                <c:pt idx="25">
                  <c:v>165.76470588235293</c:v>
                </c:pt>
                <c:pt idx="26">
                  <c:v>173.58823529411762</c:v>
                </c:pt>
                <c:pt idx="27">
                  <c:v>181.5529411764706</c:v>
                </c:pt>
                <c:pt idx="28">
                  <c:v>189.65882352941173</c:v>
                </c:pt>
                <c:pt idx="29">
                  <c:v>197.90588235294118</c:v>
                </c:pt>
                <c:pt idx="30">
                  <c:v>206.29411764705881</c:v>
                </c:pt>
                <c:pt idx="31">
                  <c:v>214.8235294117647</c:v>
                </c:pt>
                <c:pt idx="32">
                  <c:v>223.49411764705883</c:v>
                </c:pt>
                <c:pt idx="33">
                  <c:v>232.30588235294118</c:v>
                </c:pt>
                <c:pt idx="34">
                  <c:v>241.25882352941176</c:v>
                </c:pt>
                <c:pt idx="35">
                  <c:v>250.35294117647061</c:v>
                </c:pt>
                <c:pt idx="36">
                  <c:v>259.58823529411768</c:v>
                </c:pt>
                <c:pt idx="37">
                  <c:v>338.5529411764706</c:v>
                </c:pt>
                <c:pt idx="38">
                  <c:v>523.58823529411757</c:v>
                </c:pt>
                <c:pt idx="39">
                  <c:v>1002.0823529411765</c:v>
                </c:pt>
                <c:pt idx="40">
                  <c:v>1625.1411764705883</c:v>
                </c:pt>
                <c:pt idx="41">
                  <c:v>3304.9529411764706</c:v>
                </c:pt>
                <c:pt idx="42">
                  <c:v>5563.0235294117647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AC-4B32-B1DE-709D74B977B2}"/>
            </c:ext>
          </c:extLst>
        </c:ser>
        <c:ser>
          <c:idx val="2"/>
          <c:order val="2"/>
          <c:tx>
            <c:v>t1 compute only</c:v>
          </c:tx>
          <c:spPr>
            <a:ln w="47520">
              <a:solidFill>
                <a:srgbClr val="C0D2A7"/>
              </a:solidFill>
              <a:round/>
            </a:ln>
          </c:spPr>
          <c:marker>
            <c:symbol val="circle"/>
            <c:size val="4"/>
            <c:spPr>
              <a:solidFill>
                <a:srgbClr val="C0D2A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A'!$F$5:$F$47</c:f>
              <c:numCache>
                <c:formatCode>0.00</c:formatCode>
                <c:ptCount val="43"/>
                <c:pt idx="0">
                  <c:v>1.6588235294117648</c:v>
                </c:pt>
                <c:pt idx="1">
                  <c:v>2.3529411764705879</c:v>
                </c:pt>
                <c:pt idx="2">
                  <c:v>3.1882352941176473</c:v>
                </c:pt>
                <c:pt idx="3">
                  <c:v>4.1647058823529406</c:v>
                </c:pt>
                <c:pt idx="4">
                  <c:v>5.2823529411764705</c:v>
                </c:pt>
                <c:pt idx="5">
                  <c:v>6.5411764705882351</c:v>
                </c:pt>
                <c:pt idx="6">
                  <c:v>7.9411764705882346</c:v>
                </c:pt>
                <c:pt idx="7">
                  <c:v>9.4823529411764707</c:v>
                </c:pt>
                <c:pt idx="8">
                  <c:v>11.164705882352941</c:v>
                </c:pt>
                <c:pt idx="9">
                  <c:v>12.988235294117647</c:v>
                </c:pt>
                <c:pt idx="10">
                  <c:v>14.952941176470588</c:v>
                </c:pt>
                <c:pt idx="11">
                  <c:v>17.058823529411764</c:v>
                </c:pt>
                <c:pt idx="12">
                  <c:v>19.305882352941175</c:v>
                </c:pt>
                <c:pt idx="13">
                  <c:v>21.694117647058821</c:v>
                </c:pt>
                <c:pt idx="14">
                  <c:v>24.223529411764705</c:v>
                </c:pt>
                <c:pt idx="15">
                  <c:v>26.894117647058824</c:v>
                </c:pt>
                <c:pt idx="16">
                  <c:v>29.705882352941178</c:v>
                </c:pt>
                <c:pt idx="17">
                  <c:v>32.658823529411762</c:v>
                </c:pt>
                <c:pt idx="18">
                  <c:v>35.752941176470586</c:v>
                </c:pt>
                <c:pt idx="19">
                  <c:v>38.988235294117644</c:v>
                </c:pt>
                <c:pt idx="20">
                  <c:v>42.364705882352936</c:v>
                </c:pt>
                <c:pt idx="21">
                  <c:v>45.882352941176471</c:v>
                </c:pt>
                <c:pt idx="22">
                  <c:v>49.541176470588233</c:v>
                </c:pt>
                <c:pt idx="23">
                  <c:v>53.341176470588231</c:v>
                </c:pt>
                <c:pt idx="24">
                  <c:v>57.28235294117647</c:v>
                </c:pt>
                <c:pt idx="25">
                  <c:v>61.364705882352936</c:v>
                </c:pt>
                <c:pt idx="26">
                  <c:v>65.588235294117638</c:v>
                </c:pt>
                <c:pt idx="27">
                  <c:v>69.952941176470588</c:v>
                </c:pt>
                <c:pt idx="28">
                  <c:v>74.45882352941176</c:v>
                </c:pt>
                <c:pt idx="29">
                  <c:v>79.10588235294118</c:v>
                </c:pt>
                <c:pt idx="30">
                  <c:v>83.89411764705882</c:v>
                </c:pt>
                <c:pt idx="31">
                  <c:v>88.82352941176471</c:v>
                </c:pt>
                <c:pt idx="32">
                  <c:v>93.89411764705882</c:v>
                </c:pt>
                <c:pt idx="33">
                  <c:v>99.10588235294118</c:v>
                </c:pt>
                <c:pt idx="34">
                  <c:v>104.45882352941176</c:v>
                </c:pt>
                <c:pt idx="35">
                  <c:v>109.95294117647059</c:v>
                </c:pt>
                <c:pt idx="36">
                  <c:v>115.58823529411765</c:v>
                </c:pt>
                <c:pt idx="37">
                  <c:v>165.75294117647059</c:v>
                </c:pt>
                <c:pt idx="38">
                  <c:v>293.18823529411765</c:v>
                </c:pt>
                <c:pt idx="39">
                  <c:v>656.48235294117649</c:v>
                </c:pt>
                <c:pt idx="40">
                  <c:v>1164.3411764705884</c:v>
                </c:pt>
                <c:pt idx="41">
                  <c:v>2613.7529411764704</c:v>
                </c:pt>
                <c:pt idx="42">
                  <c:v>4641.4235294117652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AC-4B32-B1DE-709D74B97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66874"/>
        <c:axId val="45221322"/>
      </c:scatterChart>
      <c:valAx>
        <c:axId val="65566874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21322"/>
        <c:crosses val="autoZero"/>
        <c:crossBetween val="midCat"/>
      </c:valAx>
      <c:valAx>
        <c:axId val="4522132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5668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Figure 1 — layer computing time per period vs N (µs)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τ1 CVB bubble</c:v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circle"/>
            <c:size val="4"/>
            <c:spPr>
              <a:solidFill>
                <a:srgbClr val="7E99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A'!$F$5:$F$47</c:f>
              <c:numCache>
                <c:formatCode>0.00</c:formatCode>
                <c:ptCount val="43"/>
                <c:pt idx="0">
                  <c:v>1.6588235294117648</c:v>
                </c:pt>
                <c:pt idx="1">
                  <c:v>2.3529411764705879</c:v>
                </c:pt>
                <c:pt idx="2">
                  <c:v>3.1882352941176473</c:v>
                </c:pt>
                <c:pt idx="3">
                  <c:v>4.1647058823529406</c:v>
                </c:pt>
                <c:pt idx="4">
                  <c:v>5.2823529411764705</c:v>
                </c:pt>
                <c:pt idx="5">
                  <c:v>6.5411764705882351</c:v>
                </c:pt>
                <c:pt idx="6">
                  <c:v>7.9411764705882346</c:v>
                </c:pt>
                <c:pt idx="7">
                  <c:v>9.4823529411764707</c:v>
                </c:pt>
                <c:pt idx="8">
                  <c:v>11.164705882352941</c:v>
                </c:pt>
                <c:pt idx="9">
                  <c:v>12.988235294117647</c:v>
                </c:pt>
                <c:pt idx="10">
                  <c:v>14.952941176470588</c:v>
                </c:pt>
                <c:pt idx="11">
                  <c:v>17.058823529411764</c:v>
                </c:pt>
                <c:pt idx="12">
                  <c:v>19.305882352941175</c:v>
                </c:pt>
                <c:pt idx="13">
                  <c:v>21.694117647058821</c:v>
                </c:pt>
                <c:pt idx="14">
                  <c:v>24.223529411764705</c:v>
                </c:pt>
                <c:pt idx="15">
                  <c:v>26.894117647058824</c:v>
                </c:pt>
                <c:pt idx="16">
                  <c:v>29.705882352941178</c:v>
                </c:pt>
                <c:pt idx="17">
                  <c:v>32.658823529411762</c:v>
                </c:pt>
                <c:pt idx="18">
                  <c:v>35.752941176470586</c:v>
                </c:pt>
                <c:pt idx="19">
                  <c:v>38.988235294117644</c:v>
                </c:pt>
                <c:pt idx="20">
                  <c:v>42.364705882352936</c:v>
                </c:pt>
                <c:pt idx="21">
                  <c:v>45.882352941176471</c:v>
                </c:pt>
                <c:pt idx="22">
                  <c:v>49.541176470588233</c:v>
                </c:pt>
                <c:pt idx="23">
                  <c:v>53.341176470588231</c:v>
                </c:pt>
                <c:pt idx="24">
                  <c:v>57.28235294117647</c:v>
                </c:pt>
                <c:pt idx="25">
                  <c:v>61.364705882352936</c:v>
                </c:pt>
                <c:pt idx="26">
                  <c:v>65.588235294117638</c:v>
                </c:pt>
                <c:pt idx="27">
                  <c:v>69.952941176470588</c:v>
                </c:pt>
                <c:pt idx="28">
                  <c:v>74.45882352941176</c:v>
                </c:pt>
                <c:pt idx="29">
                  <c:v>79.10588235294118</c:v>
                </c:pt>
                <c:pt idx="30">
                  <c:v>83.89411764705882</c:v>
                </c:pt>
                <c:pt idx="31">
                  <c:v>88.82352941176471</c:v>
                </c:pt>
                <c:pt idx="32">
                  <c:v>93.89411764705882</c:v>
                </c:pt>
                <c:pt idx="33">
                  <c:v>99.10588235294118</c:v>
                </c:pt>
                <c:pt idx="34">
                  <c:v>104.45882352941176</c:v>
                </c:pt>
                <c:pt idx="35">
                  <c:v>109.95294117647059</c:v>
                </c:pt>
                <c:pt idx="36">
                  <c:v>115.58823529411765</c:v>
                </c:pt>
                <c:pt idx="37">
                  <c:v>165.75294117647059</c:v>
                </c:pt>
                <c:pt idx="38">
                  <c:v>293.18823529411765</c:v>
                </c:pt>
                <c:pt idx="39">
                  <c:v>656.48235294117649</c:v>
                </c:pt>
                <c:pt idx="40">
                  <c:v>1164.3411764705884</c:v>
                </c:pt>
                <c:pt idx="41">
                  <c:v>2613.7529411764704</c:v>
                </c:pt>
                <c:pt idx="42">
                  <c:v>4641.4235294117652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9-47F9-965D-C167EDAA4184}"/>
            </c:ext>
          </c:extLst>
        </c:ser>
        <c:ser>
          <c:idx val="1"/>
          <c:order val="1"/>
          <c:tx>
            <c:v>τ2 energy centralized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A'!$G$5:$G$47</c:f>
              <c:numCache>
                <c:formatCode>0.00</c:formatCode>
                <c:ptCount val="43"/>
                <c:pt idx="0">
                  <c:v>1.6235294117647059</c:v>
                </c:pt>
                <c:pt idx="1">
                  <c:v>1.7352941176470589</c:v>
                </c:pt>
                <c:pt idx="2">
                  <c:v>1.8470588235294119</c:v>
                </c:pt>
                <c:pt idx="3">
                  <c:v>1.9588235294117646</c:v>
                </c:pt>
                <c:pt idx="4">
                  <c:v>2.0705882352941178</c:v>
                </c:pt>
                <c:pt idx="5">
                  <c:v>2.1823529411764708</c:v>
                </c:pt>
                <c:pt idx="6">
                  <c:v>2.2941176470588234</c:v>
                </c:pt>
                <c:pt idx="7">
                  <c:v>2.4058823529411764</c:v>
                </c:pt>
                <c:pt idx="8">
                  <c:v>2.5176470588235293</c:v>
                </c:pt>
                <c:pt idx="9">
                  <c:v>2.6294117647058823</c:v>
                </c:pt>
                <c:pt idx="10">
                  <c:v>2.7411764705882353</c:v>
                </c:pt>
                <c:pt idx="11">
                  <c:v>2.8529411764705883</c:v>
                </c:pt>
                <c:pt idx="12">
                  <c:v>2.9647058823529409</c:v>
                </c:pt>
                <c:pt idx="13">
                  <c:v>3.0764705882352938</c:v>
                </c:pt>
                <c:pt idx="14">
                  <c:v>3.1882352941176473</c:v>
                </c:pt>
                <c:pt idx="15">
                  <c:v>3.3000000000000003</c:v>
                </c:pt>
                <c:pt idx="16">
                  <c:v>3.4117647058823528</c:v>
                </c:pt>
                <c:pt idx="17">
                  <c:v>3.5235294117647058</c:v>
                </c:pt>
                <c:pt idx="18">
                  <c:v>3.6352941176470588</c:v>
                </c:pt>
                <c:pt idx="19">
                  <c:v>3.7470588235294118</c:v>
                </c:pt>
                <c:pt idx="20">
                  <c:v>3.8588235294117652</c:v>
                </c:pt>
                <c:pt idx="21">
                  <c:v>3.9705882352941173</c:v>
                </c:pt>
                <c:pt idx="22">
                  <c:v>4.0823529411764703</c:v>
                </c:pt>
                <c:pt idx="23">
                  <c:v>4.1941176470588237</c:v>
                </c:pt>
                <c:pt idx="24">
                  <c:v>4.3058823529411763</c:v>
                </c:pt>
                <c:pt idx="25">
                  <c:v>4.4176470588235297</c:v>
                </c:pt>
                <c:pt idx="26">
                  <c:v>4.5294117647058822</c:v>
                </c:pt>
                <c:pt idx="27">
                  <c:v>4.6411764705882357</c:v>
                </c:pt>
                <c:pt idx="28">
                  <c:v>4.7529411764705882</c:v>
                </c:pt>
                <c:pt idx="29">
                  <c:v>4.8647058823529408</c:v>
                </c:pt>
                <c:pt idx="30">
                  <c:v>4.9764705882352942</c:v>
                </c:pt>
                <c:pt idx="31">
                  <c:v>5.0882352941176467</c:v>
                </c:pt>
                <c:pt idx="32">
                  <c:v>5.2</c:v>
                </c:pt>
                <c:pt idx="33">
                  <c:v>5.3117647058823536</c:v>
                </c:pt>
                <c:pt idx="34">
                  <c:v>5.4235294117647053</c:v>
                </c:pt>
                <c:pt idx="35">
                  <c:v>5.5352941176470587</c:v>
                </c:pt>
                <c:pt idx="36">
                  <c:v>5.6470588235294112</c:v>
                </c:pt>
                <c:pt idx="37">
                  <c:v>6.5411764705882351</c:v>
                </c:pt>
                <c:pt idx="38">
                  <c:v>8.3294117647058812</c:v>
                </c:pt>
                <c:pt idx="39">
                  <c:v>11.905882352941177</c:v>
                </c:pt>
                <c:pt idx="40">
                  <c:v>15.482352941176469</c:v>
                </c:pt>
                <c:pt idx="41">
                  <c:v>22.63529411764706</c:v>
                </c:pt>
                <c:pt idx="42">
                  <c:v>29.788235294117648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9-47F9-965D-C167EDAA4184}"/>
            </c:ext>
          </c:extLst>
        </c:ser>
        <c:ser>
          <c:idx val="2"/>
          <c:order val="2"/>
          <c:tx>
            <c:v>τ3 outer</c:v>
          </c:tx>
          <c:spPr>
            <a:ln w="47520">
              <a:solidFill>
                <a:srgbClr val="C0D2A7"/>
              </a:solidFill>
              <a:round/>
            </a:ln>
          </c:spPr>
          <c:marker>
            <c:symbol val="circle"/>
            <c:size val="4"/>
            <c:spPr>
              <a:solidFill>
                <a:srgbClr val="C0D2A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'§3 Case A'!$A$5:$A$47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'§3 Case A'!$H$5:$H$47</c:f>
              <c:numCache>
                <c:formatCode>0.00</c:formatCode>
                <c:ptCount val="43"/>
                <c:pt idx="0">
                  <c:v>4.7058823529411757</c:v>
                </c:pt>
                <c:pt idx="1">
                  <c:v>4.7058823529411757</c:v>
                </c:pt>
                <c:pt idx="2">
                  <c:v>4.7058823529411757</c:v>
                </c:pt>
                <c:pt idx="3">
                  <c:v>4.7058823529411757</c:v>
                </c:pt>
                <c:pt idx="4">
                  <c:v>4.7058823529411757</c:v>
                </c:pt>
                <c:pt idx="5">
                  <c:v>4.7058823529411757</c:v>
                </c:pt>
                <c:pt idx="6">
                  <c:v>4.7058823529411757</c:v>
                </c:pt>
                <c:pt idx="7">
                  <c:v>4.7058823529411757</c:v>
                </c:pt>
                <c:pt idx="8">
                  <c:v>4.7058823529411757</c:v>
                </c:pt>
                <c:pt idx="9">
                  <c:v>4.7058823529411757</c:v>
                </c:pt>
                <c:pt idx="10">
                  <c:v>4.7058823529411757</c:v>
                </c:pt>
                <c:pt idx="11">
                  <c:v>4.7058823529411757</c:v>
                </c:pt>
                <c:pt idx="12">
                  <c:v>4.7058823529411757</c:v>
                </c:pt>
                <c:pt idx="13">
                  <c:v>4.7058823529411757</c:v>
                </c:pt>
                <c:pt idx="14">
                  <c:v>4.7058823529411757</c:v>
                </c:pt>
                <c:pt idx="15">
                  <c:v>4.7058823529411757</c:v>
                </c:pt>
                <c:pt idx="16">
                  <c:v>4.7058823529411757</c:v>
                </c:pt>
                <c:pt idx="17">
                  <c:v>4.7058823529411757</c:v>
                </c:pt>
                <c:pt idx="18">
                  <c:v>4.7058823529411757</c:v>
                </c:pt>
                <c:pt idx="19">
                  <c:v>4.7058823529411757</c:v>
                </c:pt>
                <c:pt idx="20">
                  <c:v>4.7058823529411757</c:v>
                </c:pt>
                <c:pt idx="21">
                  <c:v>4.7058823529411757</c:v>
                </c:pt>
                <c:pt idx="22">
                  <c:v>4.7058823529411757</c:v>
                </c:pt>
                <c:pt idx="23">
                  <c:v>4.7058823529411757</c:v>
                </c:pt>
                <c:pt idx="24">
                  <c:v>4.7058823529411757</c:v>
                </c:pt>
                <c:pt idx="25">
                  <c:v>4.7058823529411757</c:v>
                </c:pt>
                <c:pt idx="26">
                  <c:v>4.7058823529411757</c:v>
                </c:pt>
                <c:pt idx="27">
                  <c:v>4.7058823529411757</c:v>
                </c:pt>
                <c:pt idx="28">
                  <c:v>4.7058823529411757</c:v>
                </c:pt>
                <c:pt idx="29">
                  <c:v>4.7058823529411757</c:v>
                </c:pt>
                <c:pt idx="30">
                  <c:v>4.7058823529411757</c:v>
                </c:pt>
                <c:pt idx="31">
                  <c:v>4.7058823529411757</c:v>
                </c:pt>
                <c:pt idx="32">
                  <c:v>4.7058823529411757</c:v>
                </c:pt>
                <c:pt idx="33">
                  <c:v>4.7058823529411757</c:v>
                </c:pt>
                <c:pt idx="34">
                  <c:v>4.7058823529411757</c:v>
                </c:pt>
                <c:pt idx="35">
                  <c:v>4.7058823529411757</c:v>
                </c:pt>
                <c:pt idx="36">
                  <c:v>4.7058823529411757</c:v>
                </c:pt>
                <c:pt idx="37">
                  <c:v>4.7058823529411757</c:v>
                </c:pt>
                <c:pt idx="38">
                  <c:v>4.7058823529411757</c:v>
                </c:pt>
                <c:pt idx="39">
                  <c:v>4.7058823529411757</c:v>
                </c:pt>
                <c:pt idx="40">
                  <c:v>4.7058823529411757</c:v>
                </c:pt>
                <c:pt idx="41">
                  <c:v>4.7058823529411757</c:v>
                </c:pt>
                <c:pt idx="42">
                  <c:v>4.7058823529411757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59-47F9-965D-C167EDAA4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46817"/>
        <c:axId val="10856168"/>
      </c:scatterChart>
      <c:valAx>
        <c:axId val="62546817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856168"/>
        <c:crosses val="autoZero"/>
        <c:crossBetween val="midCat"/>
      </c:valAx>
      <c:valAx>
        <c:axId val="1085616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µs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468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B — FPGA resource usage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CS-count extrapolation</c:v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circle"/>
            <c:size val="4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'§4 Case B'!$A$5:$A$10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'§4 Case B'!$J$5:$J$10</c:f>
              <c:numCache>
                <c:formatCode>0.0%</c:formatCode>
                <c:ptCount val="6"/>
                <c:pt idx="0">
                  <c:v>8.1145034970892486E-3</c:v>
                </c:pt>
                <c:pt idx="1">
                  <c:v>2.7048344990297495E-2</c:v>
                </c:pt>
                <c:pt idx="2">
                  <c:v>8.1145034970892482E-2</c:v>
                </c:pt>
                <c:pt idx="3">
                  <c:v>0.22720609791849897</c:v>
                </c:pt>
                <c:pt idx="4">
                  <c:v>0.60588292778266384</c:v>
                </c:pt>
                <c:pt idx="5">
                  <c:v>1.5579846714411358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A-4279-BB02-0CD3AA1AF2D8}"/>
            </c:ext>
          </c:extLst>
        </c:ser>
        <c:ser>
          <c:idx val="1"/>
          <c:order val="1"/>
          <c:tx>
            <c:v>report value [1]</c:v>
          </c:tx>
          <c:spPr>
            <a:ln w="47520">
              <a:solidFill>
                <a:srgbClr val="B3C992"/>
              </a:solidFill>
              <a:round/>
            </a:ln>
          </c:spPr>
          <c:marker>
            <c:symbol val="circle"/>
            <c:size val="4"/>
            <c:spPr>
              <a:solidFill>
                <a:srgbClr val="B3C99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'§4 Case B'!$A$5:$A$10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'§4 Case B'!$K$5:$K$10</c:f>
              <c:numCache>
                <c:formatCode>0.0%</c:formatCode>
                <c:ptCount val="6"/>
                <c:pt idx="0">
                  <c:v>1.4999999999999999E-2</c:v>
                </c:pt>
                <c:pt idx="1">
                  <c:v>0.03</c:v>
                </c:pt>
                <c:pt idx="2">
                  <c:v>0.08</c:v>
                </c:pt>
                <c:pt idx="3">
                  <c:v>0.21</c:v>
                </c:pt>
                <c:pt idx="4">
                  <c:v>0.55000000000000004</c:v>
                </c:pt>
                <c:pt idx="5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4A-4279-BB02-0CD3AA1AF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8276"/>
        <c:axId val="94482335"/>
      </c:scatterChart>
      <c:valAx>
        <c:axId val="68358276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=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482335"/>
        <c:crosses val="autoZero"/>
        <c:crossBetween val="midCat"/>
      </c:valAx>
      <c:valAx>
        <c:axId val="94482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LUT fraction of XC6SLX45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582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Case B — time utilization of T1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(acq + sort + select)/T1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'§4 Case B'!$A$5:$A$10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</c:numCache>
            </c:numRef>
          </c:xVal>
          <c:yVal>
            <c:numRef>
              <c:f>'§4 Case B'!$H$5:$H$10</c:f>
              <c:numCache>
                <c:formatCode>0.0%</c:formatCode>
                <c:ptCount val="6"/>
                <c:pt idx="0">
                  <c:v>1.2E-2</c:v>
                </c:pt>
                <c:pt idx="1">
                  <c:v>1.9199999999999998E-2</c:v>
                </c:pt>
                <c:pt idx="2">
                  <c:v>3.4000000000000002E-2</c:v>
                </c:pt>
                <c:pt idx="3">
                  <c:v>6.2E-2</c:v>
                </c:pt>
                <c:pt idx="4">
                  <c:v>0.11599999999999999</c:v>
                </c:pt>
                <c:pt idx="5">
                  <c:v>0.22159999999999999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B9-4BF0-A0AF-F3CDAA2C8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9949"/>
        <c:axId val="70444119"/>
      </c:scatterChart>
      <c:valAx>
        <c:axId val="13029949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=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44119"/>
        <c:crosses val="autoZero"/>
        <c:crossBetween val="midCat"/>
      </c:valAx>
      <c:valAx>
        <c:axId val="70444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fraction of T1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99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 C : consensus convergence time vs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τ_conv = T1/(k_v·λ2)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'§5 Case C'!$A$16:$A$29</c:f>
              <c:numCache>
                <c:formatCode>General</c:formatCode>
                <c:ptCount val="14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80</c:v>
                </c:pt>
                <c:pt idx="9">
                  <c:v>90</c:v>
                </c:pt>
                <c:pt idx="10">
                  <c:v>96</c:v>
                </c:pt>
                <c:pt idx="11">
                  <c:v>128</c:v>
                </c:pt>
                <c:pt idx="12">
                  <c:v>192</c:v>
                </c:pt>
                <c:pt idx="13">
                  <c:v>256</c:v>
                </c:pt>
              </c:numCache>
            </c:numRef>
          </c:xVal>
          <c:yVal>
            <c:numRef>
              <c:f>'§5 Case C'!$D$16:$D$29</c:f>
              <c:numCache>
                <c:formatCode>0.00</c:formatCode>
                <c:ptCount val="14"/>
                <c:pt idx="0">
                  <c:v>0.25000000000000006</c:v>
                </c:pt>
                <c:pt idx="1">
                  <c:v>0.85355339059327395</c:v>
                </c:pt>
                <c:pt idx="2">
                  <c:v>1.8660254037844395</c:v>
                </c:pt>
                <c:pt idx="3">
                  <c:v>3.2842677961360218</c:v>
                </c:pt>
                <c:pt idx="4">
                  <c:v>7.336935067622635</c:v>
                </c:pt>
                <c:pt idx="5">
                  <c:v>13.01085861497717</c:v>
                </c:pt>
                <c:pt idx="6">
                  <c:v>29.222203277300693</c:v>
                </c:pt>
                <c:pt idx="7">
                  <c:v>51.918132778988152</c:v>
                </c:pt>
                <c:pt idx="8">
                  <c:v>81.098626434730349</c:v>
                </c:pt>
                <c:pt idx="9">
                  <c:v>102.62937526040973</c:v>
                </c:pt>
                <c:pt idx="10">
                  <c:v>116.76367914849399</c:v>
                </c:pt>
                <c:pt idx="11">
                  <c:v>207.54745578659697</c:v>
                </c:pt>
                <c:pt idx="12">
                  <c:v>466.92968312177351</c:v>
                </c:pt>
                <c:pt idx="13">
                  <c:v>830.06480431979514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9-4472-9310-E3C86BBE4741}"/>
            </c:ext>
          </c:extLst>
        </c:ser>
        <c:ser>
          <c:idx val="1"/>
          <c:order val="1"/>
          <c:tx>
            <c:v>ring broadcast latency L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'§5 Case C'!$A$16:$A$29</c:f>
              <c:numCache>
                <c:formatCode>General</c:formatCode>
                <c:ptCount val="14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24</c:v>
                </c:pt>
                <c:pt idx="5">
                  <c:v>32</c:v>
                </c:pt>
                <c:pt idx="6">
                  <c:v>48</c:v>
                </c:pt>
                <c:pt idx="7">
                  <c:v>64</c:v>
                </c:pt>
                <c:pt idx="8">
                  <c:v>80</c:v>
                </c:pt>
                <c:pt idx="9">
                  <c:v>90</c:v>
                </c:pt>
                <c:pt idx="10">
                  <c:v>96</c:v>
                </c:pt>
                <c:pt idx="11">
                  <c:v>128</c:v>
                </c:pt>
                <c:pt idx="12">
                  <c:v>192</c:v>
                </c:pt>
                <c:pt idx="13">
                  <c:v>256</c:v>
                </c:pt>
              </c:numCache>
            </c:numRef>
          </c:xVal>
          <c:yVal>
            <c:numRef>
              <c:f>'§5 Case C'!$F$16:$F$29</c:f>
              <c:numCache>
                <c:formatCode>0.000</c:formatCode>
                <c:ptCount val="14"/>
                <c:pt idx="0">
                  <c:v>3.0006666666666664E-2</c:v>
                </c:pt>
                <c:pt idx="1">
                  <c:v>6.0013333333333328E-2</c:v>
                </c:pt>
                <c:pt idx="2">
                  <c:v>9.0019999999999989E-2</c:v>
                </c:pt>
                <c:pt idx="3">
                  <c:v>0.12002666666666666</c:v>
                </c:pt>
                <c:pt idx="4">
                  <c:v>0.18003999999999998</c:v>
                </c:pt>
                <c:pt idx="5">
                  <c:v>0.24005333333333331</c:v>
                </c:pt>
                <c:pt idx="6">
                  <c:v>0.36007999999999996</c:v>
                </c:pt>
                <c:pt idx="7">
                  <c:v>0.48010666666666663</c:v>
                </c:pt>
                <c:pt idx="8">
                  <c:v>0.6001333333333333</c:v>
                </c:pt>
                <c:pt idx="9">
                  <c:v>0.67515000000000003</c:v>
                </c:pt>
                <c:pt idx="10">
                  <c:v>0.72015999999999991</c:v>
                </c:pt>
                <c:pt idx="11">
                  <c:v>0.96021333333333325</c:v>
                </c:pt>
                <c:pt idx="12">
                  <c:v>1.4403199999999998</c:v>
                </c:pt>
                <c:pt idx="13">
                  <c:v>1.9204266666666665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99-4472-9310-E3C86BBE4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509"/>
        <c:axId val="14378626"/>
      </c:scatterChart>
      <c:valAx>
        <c:axId val="1156250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per arm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8626"/>
        <c:crosses val="autoZero"/>
        <c:crossBetween val="midCat"/>
      </c:valAx>
      <c:valAx>
        <c:axId val="1437862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50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Scaling laws — computing time per control period vs N (log–log)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A: CVB bubble</c:v>
          </c:tx>
          <c:spPr>
            <a:ln w="47520">
              <a:solidFill>
                <a:srgbClr val="698039"/>
              </a:solidFill>
              <a:round/>
            </a:ln>
          </c:spPr>
          <c:marker>
            <c:symbol val="circle"/>
            <c:size val="4"/>
            <c:spPr>
              <a:solidFill>
                <a:srgbClr val="69803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laws'!$B$5:$B$47</c:f>
              <c:numCache>
                <c:formatCode>0.00</c:formatCode>
                <c:ptCount val="43"/>
                <c:pt idx="0">
                  <c:v>1.6588235294117648</c:v>
                </c:pt>
                <c:pt idx="1">
                  <c:v>2.3529411764705879</c:v>
                </c:pt>
                <c:pt idx="2">
                  <c:v>3.1882352941176473</c:v>
                </c:pt>
                <c:pt idx="3">
                  <c:v>4.1647058823529406</c:v>
                </c:pt>
                <c:pt idx="4">
                  <c:v>5.2823529411764705</c:v>
                </c:pt>
                <c:pt idx="5">
                  <c:v>6.5411764705882351</c:v>
                </c:pt>
                <c:pt idx="6">
                  <c:v>7.9411764705882346</c:v>
                </c:pt>
                <c:pt idx="7">
                  <c:v>9.4823529411764707</c:v>
                </c:pt>
                <c:pt idx="8">
                  <c:v>11.164705882352941</c:v>
                </c:pt>
                <c:pt idx="9">
                  <c:v>12.988235294117647</c:v>
                </c:pt>
                <c:pt idx="10">
                  <c:v>14.952941176470588</c:v>
                </c:pt>
                <c:pt idx="11">
                  <c:v>17.058823529411764</c:v>
                </c:pt>
                <c:pt idx="12">
                  <c:v>19.305882352941175</c:v>
                </c:pt>
                <c:pt idx="13">
                  <c:v>21.694117647058821</c:v>
                </c:pt>
                <c:pt idx="14">
                  <c:v>24.223529411764705</c:v>
                </c:pt>
                <c:pt idx="15">
                  <c:v>26.894117647058824</c:v>
                </c:pt>
                <c:pt idx="16">
                  <c:v>29.705882352941178</c:v>
                </c:pt>
                <c:pt idx="17">
                  <c:v>32.658823529411762</c:v>
                </c:pt>
                <c:pt idx="18">
                  <c:v>35.752941176470586</c:v>
                </c:pt>
                <c:pt idx="19">
                  <c:v>38.988235294117644</c:v>
                </c:pt>
                <c:pt idx="20">
                  <c:v>42.364705882352936</c:v>
                </c:pt>
                <c:pt idx="21">
                  <c:v>45.882352941176471</c:v>
                </c:pt>
                <c:pt idx="22">
                  <c:v>49.541176470588233</c:v>
                </c:pt>
                <c:pt idx="23">
                  <c:v>53.341176470588231</c:v>
                </c:pt>
                <c:pt idx="24">
                  <c:v>57.28235294117647</c:v>
                </c:pt>
                <c:pt idx="25">
                  <c:v>61.364705882352936</c:v>
                </c:pt>
                <c:pt idx="26">
                  <c:v>65.588235294117638</c:v>
                </c:pt>
                <c:pt idx="27">
                  <c:v>69.952941176470588</c:v>
                </c:pt>
                <c:pt idx="28">
                  <c:v>74.45882352941176</c:v>
                </c:pt>
                <c:pt idx="29">
                  <c:v>79.10588235294118</c:v>
                </c:pt>
                <c:pt idx="30">
                  <c:v>83.89411764705882</c:v>
                </c:pt>
                <c:pt idx="31">
                  <c:v>88.82352941176471</c:v>
                </c:pt>
                <c:pt idx="32">
                  <c:v>93.89411764705882</c:v>
                </c:pt>
                <c:pt idx="33">
                  <c:v>99.10588235294118</c:v>
                </c:pt>
                <c:pt idx="34">
                  <c:v>104.45882352941176</c:v>
                </c:pt>
                <c:pt idx="35">
                  <c:v>109.95294117647059</c:v>
                </c:pt>
                <c:pt idx="36">
                  <c:v>115.58823529411765</c:v>
                </c:pt>
                <c:pt idx="37">
                  <c:v>165.75294117647059</c:v>
                </c:pt>
                <c:pt idx="38">
                  <c:v>293.18823529411765</c:v>
                </c:pt>
                <c:pt idx="39">
                  <c:v>656.48235294117649</c:v>
                </c:pt>
                <c:pt idx="40">
                  <c:v>1164.3411764705884</c:v>
                </c:pt>
                <c:pt idx="41">
                  <c:v>2613.7529411764704</c:v>
                </c:pt>
                <c:pt idx="42">
                  <c:v>4641.4235294117652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2-4A3F-B99A-8A67784FF4B1}"/>
            </c:ext>
          </c:extLst>
        </c:ser>
        <c:ser>
          <c:idx val="1"/>
          <c:order val="1"/>
          <c:tx>
            <c:v>A: CVB merge</c:v>
          </c:tx>
          <c:spPr>
            <a:ln w="47520">
              <a:solidFill>
                <a:srgbClr val="758E40"/>
              </a:solidFill>
              <a:round/>
            </a:ln>
          </c:spPr>
          <c:marker>
            <c:symbol val="circle"/>
            <c:size val="4"/>
            <c:spPr>
              <a:solidFill>
                <a:srgbClr val="758E4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laws'!$C$5:$C$47</c:f>
              <c:numCache>
                <c:formatCode>0.00</c:formatCode>
                <c:ptCount val="43"/>
                <c:pt idx="0">
                  <c:v>2.4117647058823533</c:v>
                </c:pt>
                <c:pt idx="1">
                  <c:v>3.3199154057498377</c:v>
                </c:pt>
                <c:pt idx="2">
                  <c:v>4.2964176480769263</c:v>
                </c:pt>
                <c:pt idx="3">
                  <c:v>5.3297610480948769</c:v>
                </c:pt>
                <c:pt idx="4">
                  <c:v>6.4117647058823533</c:v>
                </c:pt>
                <c:pt idx="5">
                  <c:v>7.5363117677601918</c:v>
                </c:pt>
                <c:pt idx="6">
                  <c:v>8.6986543409114407</c:v>
                </c:pt>
                <c:pt idx="7">
                  <c:v>9.89499948353183</c:v>
                </c:pt>
                <c:pt idx="8">
                  <c:v>11.122247060859737</c:v>
                </c:pt>
                <c:pt idx="9">
                  <c:v>12.377815608431577</c:v>
                </c:pt>
                <c:pt idx="10">
                  <c:v>13.659522096189754</c:v>
                </c:pt>
                <c:pt idx="11">
                  <c:v>14.965496219794773</c:v>
                </c:pt>
                <c:pt idx="12">
                  <c:v>16.294117647058822</c:v>
                </c:pt>
                <c:pt idx="13">
                  <c:v>17.643969012060182</c:v>
                </c:pt>
                <c:pt idx="14">
                  <c:v>19.013800006108617</c:v>
                </c:pt>
                <c:pt idx="15">
                  <c:v>20.40249947186544</c:v>
                </c:pt>
                <c:pt idx="16">
                  <c:v>21.809073387705237</c:v>
                </c:pt>
                <c:pt idx="17">
                  <c:v>23.232627265495054</c:v>
                </c:pt>
                <c:pt idx="18">
                  <c:v>24.672351908240124</c:v>
                </c:pt>
                <c:pt idx="19">
                  <c:v>26.127511762190892</c:v>
                </c:pt>
                <c:pt idx="20">
                  <c:v>27.59743529819006</c:v>
                </c:pt>
                <c:pt idx="21">
                  <c:v>29.081506998674847</c:v>
                </c:pt>
                <c:pt idx="22">
                  <c:v>30.579160628627857</c:v>
                </c:pt>
                <c:pt idx="23">
                  <c:v>32.089873543156159</c:v>
                </c:pt>
                <c:pt idx="24">
                  <c:v>33.613161839438334</c:v>
                </c:pt>
                <c:pt idx="25">
                  <c:v>35.148576202046968</c:v>
                </c:pt>
                <c:pt idx="26">
                  <c:v>36.69569832194248</c:v>
                </c:pt>
                <c:pt idx="27">
                  <c:v>38.254137793410159</c:v>
                </c:pt>
                <c:pt idx="28">
                  <c:v>39.823529411764703</c:v>
                </c:pt>
                <c:pt idx="29">
                  <c:v>41.403530809136235</c:v>
                </c:pt>
                <c:pt idx="30">
                  <c:v>42.993820377061546</c:v>
                </c:pt>
                <c:pt idx="31">
                  <c:v>44.594095433664428</c:v>
                </c:pt>
                <c:pt idx="32">
                  <c:v>46.204070600452525</c:v>
                </c:pt>
                <c:pt idx="33">
                  <c:v>47.823476359593215</c:v>
                </c:pt>
                <c:pt idx="34">
                  <c:v>49.452057767260293</c:v>
                </c:pt>
                <c:pt idx="35">
                  <c:v>51.089573302500632</c:v>
                </c:pt>
                <c:pt idx="36">
                  <c:v>52.735793834234009</c:v>
                </c:pt>
                <c:pt idx="37">
                  <c:v>66.194870596380127</c:v>
                </c:pt>
                <c:pt idx="38">
                  <c:v>94.411764705882362</c:v>
                </c:pt>
                <c:pt idx="39">
                  <c:v>154.68385883981907</c:v>
                </c:pt>
                <c:pt idx="40">
                  <c:v>218.64705882352942</c:v>
                </c:pt>
                <c:pt idx="41">
                  <c:v>354.25007062081454</c:v>
                </c:pt>
                <c:pt idx="42">
                  <c:v>497.23529411764707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2-4A3F-B99A-8A67784FF4B1}"/>
            </c:ext>
          </c:extLst>
        </c:ser>
        <c:ser>
          <c:idx val="2"/>
          <c:order val="2"/>
          <c:tx>
            <c:v>A: CVB ±1 min/max</c:v>
          </c:tx>
          <c:spPr>
            <a:ln w="47520">
              <a:solidFill>
                <a:srgbClr val="819C47"/>
              </a:solidFill>
              <a:round/>
            </a:ln>
          </c:spPr>
          <c:marker>
            <c:symbol val="circle"/>
            <c:size val="4"/>
            <c:spPr>
              <a:solidFill>
                <a:srgbClr val="819C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laws'!$D$5:$D$47</c:f>
              <c:numCache>
                <c:formatCode>0.00</c:formatCode>
                <c:ptCount val="43"/>
                <c:pt idx="0">
                  <c:v>1.3176470588235294</c:v>
                </c:pt>
                <c:pt idx="1">
                  <c:v>1.3529411764705883</c:v>
                </c:pt>
                <c:pt idx="2">
                  <c:v>1.388235294117647</c:v>
                </c:pt>
                <c:pt idx="3">
                  <c:v>1.4235294117647059</c:v>
                </c:pt>
                <c:pt idx="4">
                  <c:v>1.4588235294117649</c:v>
                </c:pt>
                <c:pt idx="5">
                  <c:v>1.4941176470588236</c:v>
                </c:pt>
                <c:pt idx="6">
                  <c:v>1.5294117647058822</c:v>
                </c:pt>
                <c:pt idx="7">
                  <c:v>1.5647058823529412</c:v>
                </c:pt>
                <c:pt idx="8">
                  <c:v>1.5999999999999999</c:v>
                </c:pt>
                <c:pt idx="9">
                  <c:v>1.6352941176470588</c:v>
                </c:pt>
                <c:pt idx="10">
                  <c:v>1.6705882352941177</c:v>
                </c:pt>
                <c:pt idx="11">
                  <c:v>1.7058823529411764</c:v>
                </c:pt>
                <c:pt idx="12">
                  <c:v>1.7411764705882353</c:v>
                </c:pt>
                <c:pt idx="13">
                  <c:v>1.7764705882352942</c:v>
                </c:pt>
                <c:pt idx="14">
                  <c:v>1.8117647058823529</c:v>
                </c:pt>
                <c:pt idx="15">
                  <c:v>1.8470588235294119</c:v>
                </c:pt>
                <c:pt idx="16">
                  <c:v>1.8823529411764708</c:v>
                </c:pt>
                <c:pt idx="17">
                  <c:v>1.9176470588235293</c:v>
                </c:pt>
                <c:pt idx="18">
                  <c:v>1.952941176470588</c:v>
                </c:pt>
                <c:pt idx="19">
                  <c:v>1.9882352941176471</c:v>
                </c:pt>
                <c:pt idx="20">
                  <c:v>2.0235294117647058</c:v>
                </c:pt>
                <c:pt idx="21">
                  <c:v>2.0588235294117645</c:v>
                </c:pt>
                <c:pt idx="22">
                  <c:v>2.0941176470588236</c:v>
                </c:pt>
                <c:pt idx="23">
                  <c:v>2.1294117647058823</c:v>
                </c:pt>
                <c:pt idx="24">
                  <c:v>2.164705882352941</c:v>
                </c:pt>
                <c:pt idx="25">
                  <c:v>2.2000000000000002</c:v>
                </c:pt>
                <c:pt idx="26">
                  <c:v>2.2352941176470589</c:v>
                </c:pt>
                <c:pt idx="27">
                  <c:v>2.2705882352941176</c:v>
                </c:pt>
                <c:pt idx="28">
                  <c:v>2.3058823529411767</c:v>
                </c:pt>
                <c:pt idx="29">
                  <c:v>2.3411764705882354</c:v>
                </c:pt>
                <c:pt idx="30">
                  <c:v>2.3764705882352941</c:v>
                </c:pt>
                <c:pt idx="31">
                  <c:v>2.4117647058823533</c:v>
                </c:pt>
                <c:pt idx="32">
                  <c:v>2.447058823529412</c:v>
                </c:pt>
                <c:pt idx="33">
                  <c:v>2.4823529411764707</c:v>
                </c:pt>
                <c:pt idx="34">
                  <c:v>2.5176470588235293</c:v>
                </c:pt>
                <c:pt idx="35">
                  <c:v>2.552941176470588</c:v>
                </c:pt>
                <c:pt idx="36">
                  <c:v>2.5882352941176467</c:v>
                </c:pt>
                <c:pt idx="37">
                  <c:v>2.8705882352941177</c:v>
                </c:pt>
                <c:pt idx="38">
                  <c:v>3.4352941176470586</c:v>
                </c:pt>
                <c:pt idx="39">
                  <c:v>4.5647058823529409</c:v>
                </c:pt>
                <c:pt idx="40">
                  <c:v>5.6941176470588237</c:v>
                </c:pt>
                <c:pt idx="41">
                  <c:v>7.9529411764705884</c:v>
                </c:pt>
                <c:pt idx="42">
                  <c:v>10.211764705882352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A2-4A3F-B99A-8A67784FF4B1}"/>
            </c:ext>
          </c:extLst>
        </c:ser>
        <c:ser>
          <c:idx val="3"/>
          <c:order val="3"/>
          <c:tx>
            <c:v>A: energy 200+19N</c:v>
          </c:tx>
          <c:spPr>
            <a:ln w="47520">
              <a:solidFill>
                <a:srgbClr val="8AA84D"/>
              </a:solidFill>
              <a:round/>
            </a:ln>
          </c:spPr>
          <c:marker>
            <c:symbol val="circle"/>
            <c:size val="4"/>
            <c:spPr>
              <a:solidFill>
                <a:srgbClr val="8AA8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laws'!$E$5:$E$47</c:f>
              <c:numCache>
                <c:formatCode>0.00</c:formatCode>
                <c:ptCount val="43"/>
                <c:pt idx="0">
                  <c:v>1.6235294117647059</c:v>
                </c:pt>
                <c:pt idx="1">
                  <c:v>1.7352941176470589</c:v>
                </c:pt>
                <c:pt idx="2">
                  <c:v>1.8470588235294119</c:v>
                </c:pt>
                <c:pt idx="3">
                  <c:v>1.9588235294117646</c:v>
                </c:pt>
                <c:pt idx="4">
                  <c:v>2.0705882352941178</c:v>
                </c:pt>
                <c:pt idx="5">
                  <c:v>2.1823529411764708</c:v>
                </c:pt>
                <c:pt idx="6">
                  <c:v>2.2941176470588234</c:v>
                </c:pt>
                <c:pt idx="7">
                  <c:v>2.4058823529411764</c:v>
                </c:pt>
                <c:pt idx="8">
                  <c:v>2.5176470588235293</c:v>
                </c:pt>
                <c:pt idx="9">
                  <c:v>2.6294117647058823</c:v>
                </c:pt>
                <c:pt idx="10">
                  <c:v>2.7411764705882353</c:v>
                </c:pt>
                <c:pt idx="11">
                  <c:v>2.8529411764705883</c:v>
                </c:pt>
                <c:pt idx="12">
                  <c:v>2.9647058823529409</c:v>
                </c:pt>
                <c:pt idx="13">
                  <c:v>3.0764705882352938</c:v>
                </c:pt>
                <c:pt idx="14">
                  <c:v>3.1882352941176473</c:v>
                </c:pt>
                <c:pt idx="15">
                  <c:v>3.3000000000000003</c:v>
                </c:pt>
                <c:pt idx="16">
                  <c:v>3.4117647058823528</c:v>
                </c:pt>
                <c:pt idx="17">
                  <c:v>3.5235294117647058</c:v>
                </c:pt>
                <c:pt idx="18">
                  <c:v>3.6352941176470588</c:v>
                </c:pt>
                <c:pt idx="19">
                  <c:v>3.7470588235294118</c:v>
                </c:pt>
                <c:pt idx="20">
                  <c:v>3.8588235294117652</c:v>
                </c:pt>
                <c:pt idx="21">
                  <c:v>3.9705882352941173</c:v>
                </c:pt>
                <c:pt idx="22">
                  <c:v>4.0823529411764703</c:v>
                </c:pt>
                <c:pt idx="23">
                  <c:v>4.1941176470588237</c:v>
                </c:pt>
                <c:pt idx="24">
                  <c:v>4.3058823529411763</c:v>
                </c:pt>
                <c:pt idx="25">
                  <c:v>4.4176470588235297</c:v>
                </c:pt>
                <c:pt idx="26">
                  <c:v>4.5294117647058822</c:v>
                </c:pt>
                <c:pt idx="27">
                  <c:v>4.6411764705882357</c:v>
                </c:pt>
                <c:pt idx="28">
                  <c:v>4.7529411764705882</c:v>
                </c:pt>
                <c:pt idx="29">
                  <c:v>4.8647058823529408</c:v>
                </c:pt>
                <c:pt idx="30">
                  <c:v>4.9764705882352942</c:v>
                </c:pt>
                <c:pt idx="31">
                  <c:v>5.0882352941176467</c:v>
                </c:pt>
                <c:pt idx="32">
                  <c:v>5.2</c:v>
                </c:pt>
                <c:pt idx="33">
                  <c:v>5.3117647058823536</c:v>
                </c:pt>
                <c:pt idx="34">
                  <c:v>5.4235294117647053</c:v>
                </c:pt>
                <c:pt idx="35">
                  <c:v>5.5352941176470587</c:v>
                </c:pt>
                <c:pt idx="36">
                  <c:v>5.6470588235294112</c:v>
                </c:pt>
                <c:pt idx="37">
                  <c:v>6.5411764705882351</c:v>
                </c:pt>
                <c:pt idx="38">
                  <c:v>8.3294117647058812</c:v>
                </c:pt>
                <c:pt idx="39">
                  <c:v>11.905882352941177</c:v>
                </c:pt>
                <c:pt idx="40">
                  <c:v>15.482352941176469</c:v>
                </c:pt>
                <c:pt idx="41">
                  <c:v>22.63529411764706</c:v>
                </c:pt>
                <c:pt idx="42">
                  <c:v>29.788235294117648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A2-4A3F-B99A-8A67784FF4B1}"/>
            </c:ext>
          </c:extLst>
        </c:ser>
        <c:ser>
          <c:idx val="4"/>
          <c:order val="4"/>
          <c:tx>
            <c:v>outer 800</c:v>
          </c:tx>
          <c:spPr>
            <a:ln w="47520">
              <a:solidFill>
                <a:srgbClr val="93B352"/>
              </a:solidFill>
              <a:round/>
            </a:ln>
          </c:spPr>
          <c:marker>
            <c:symbol val="circle"/>
            <c:size val="4"/>
            <c:spPr>
              <a:solidFill>
                <a:srgbClr val="93B35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laws'!$F$5:$F$47</c:f>
              <c:numCache>
                <c:formatCode>0.00</c:formatCode>
                <c:ptCount val="43"/>
                <c:pt idx="0">
                  <c:v>4.7058823529411757</c:v>
                </c:pt>
                <c:pt idx="1">
                  <c:v>4.7058823529411757</c:v>
                </c:pt>
                <c:pt idx="2">
                  <c:v>4.7058823529411757</c:v>
                </c:pt>
                <c:pt idx="3">
                  <c:v>4.7058823529411757</c:v>
                </c:pt>
                <c:pt idx="4">
                  <c:v>4.7058823529411757</c:v>
                </c:pt>
                <c:pt idx="5">
                  <c:v>4.7058823529411757</c:v>
                </c:pt>
                <c:pt idx="6">
                  <c:v>4.7058823529411757</c:v>
                </c:pt>
                <c:pt idx="7">
                  <c:v>4.7058823529411757</c:v>
                </c:pt>
                <c:pt idx="8">
                  <c:v>4.7058823529411757</c:v>
                </c:pt>
                <c:pt idx="9">
                  <c:v>4.7058823529411757</c:v>
                </c:pt>
                <c:pt idx="10">
                  <c:v>4.7058823529411757</c:v>
                </c:pt>
                <c:pt idx="11">
                  <c:v>4.7058823529411757</c:v>
                </c:pt>
                <c:pt idx="12">
                  <c:v>4.7058823529411757</c:v>
                </c:pt>
                <c:pt idx="13">
                  <c:v>4.7058823529411757</c:v>
                </c:pt>
                <c:pt idx="14">
                  <c:v>4.7058823529411757</c:v>
                </c:pt>
                <c:pt idx="15">
                  <c:v>4.7058823529411757</c:v>
                </c:pt>
                <c:pt idx="16">
                  <c:v>4.7058823529411757</c:v>
                </c:pt>
                <c:pt idx="17">
                  <c:v>4.7058823529411757</c:v>
                </c:pt>
                <c:pt idx="18">
                  <c:v>4.7058823529411757</c:v>
                </c:pt>
                <c:pt idx="19">
                  <c:v>4.7058823529411757</c:v>
                </c:pt>
                <c:pt idx="20">
                  <c:v>4.7058823529411757</c:v>
                </c:pt>
                <c:pt idx="21">
                  <c:v>4.7058823529411757</c:v>
                </c:pt>
                <c:pt idx="22">
                  <c:v>4.7058823529411757</c:v>
                </c:pt>
                <c:pt idx="23">
                  <c:v>4.7058823529411757</c:v>
                </c:pt>
                <c:pt idx="24">
                  <c:v>4.7058823529411757</c:v>
                </c:pt>
                <c:pt idx="25">
                  <c:v>4.7058823529411757</c:v>
                </c:pt>
                <c:pt idx="26">
                  <c:v>4.7058823529411757</c:v>
                </c:pt>
                <c:pt idx="27">
                  <c:v>4.7058823529411757</c:v>
                </c:pt>
                <c:pt idx="28">
                  <c:v>4.7058823529411757</c:v>
                </c:pt>
                <c:pt idx="29">
                  <c:v>4.7058823529411757</c:v>
                </c:pt>
                <c:pt idx="30">
                  <c:v>4.7058823529411757</c:v>
                </c:pt>
                <c:pt idx="31">
                  <c:v>4.7058823529411757</c:v>
                </c:pt>
                <c:pt idx="32">
                  <c:v>4.7058823529411757</c:v>
                </c:pt>
                <c:pt idx="33">
                  <c:v>4.7058823529411757</c:v>
                </c:pt>
                <c:pt idx="34">
                  <c:v>4.7058823529411757</c:v>
                </c:pt>
                <c:pt idx="35">
                  <c:v>4.7058823529411757</c:v>
                </c:pt>
                <c:pt idx="36">
                  <c:v>4.7058823529411757</c:v>
                </c:pt>
                <c:pt idx="37">
                  <c:v>4.7058823529411757</c:v>
                </c:pt>
                <c:pt idx="38">
                  <c:v>4.7058823529411757</c:v>
                </c:pt>
                <c:pt idx="39">
                  <c:v>4.7058823529411757</c:v>
                </c:pt>
                <c:pt idx="40">
                  <c:v>4.7058823529411757</c:v>
                </c:pt>
                <c:pt idx="41">
                  <c:v>4.7058823529411757</c:v>
                </c:pt>
                <c:pt idx="42">
                  <c:v>4.7058823529411757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A2-4A3F-B99A-8A67784FF4B1}"/>
            </c:ext>
          </c:extLst>
        </c:ser>
        <c:ser>
          <c:idx val="5"/>
          <c:order val="5"/>
          <c:tx>
            <c:v>C: τ1 970</c:v>
          </c:tx>
          <c:spPr>
            <a:ln w="47520">
              <a:solidFill>
                <a:srgbClr val="A0BD69"/>
              </a:solidFill>
              <a:round/>
            </a:ln>
          </c:spPr>
          <c:marker>
            <c:symbol val="circle"/>
            <c:size val="4"/>
            <c:spPr>
              <a:solidFill>
                <a:srgbClr val="A0BD6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laws'!$G$5:$G$47</c:f>
              <c:numCache>
                <c:formatCode>0.00</c:formatCode>
                <c:ptCount val="43"/>
                <c:pt idx="0">
                  <c:v>5.7058823529411766</c:v>
                </c:pt>
                <c:pt idx="1">
                  <c:v>5.7058823529411766</c:v>
                </c:pt>
                <c:pt idx="2">
                  <c:v>5.7058823529411766</c:v>
                </c:pt>
                <c:pt idx="3">
                  <c:v>5.7058823529411766</c:v>
                </c:pt>
                <c:pt idx="4">
                  <c:v>5.7058823529411766</c:v>
                </c:pt>
                <c:pt idx="5">
                  <c:v>5.7058823529411766</c:v>
                </c:pt>
                <c:pt idx="6">
                  <c:v>5.7058823529411766</c:v>
                </c:pt>
                <c:pt idx="7">
                  <c:v>5.7058823529411766</c:v>
                </c:pt>
                <c:pt idx="8">
                  <c:v>5.7058823529411766</c:v>
                </c:pt>
                <c:pt idx="9">
                  <c:v>5.7058823529411766</c:v>
                </c:pt>
                <c:pt idx="10">
                  <c:v>5.7058823529411766</c:v>
                </c:pt>
                <c:pt idx="11">
                  <c:v>5.7058823529411766</c:v>
                </c:pt>
                <c:pt idx="12">
                  <c:v>5.7058823529411766</c:v>
                </c:pt>
                <c:pt idx="13">
                  <c:v>5.7058823529411766</c:v>
                </c:pt>
                <c:pt idx="14">
                  <c:v>5.7058823529411766</c:v>
                </c:pt>
                <c:pt idx="15">
                  <c:v>5.7058823529411766</c:v>
                </c:pt>
                <c:pt idx="16">
                  <c:v>5.7058823529411766</c:v>
                </c:pt>
                <c:pt idx="17">
                  <c:v>5.7058823529411766</c:v>
                </c:pt>
                <c:pt idx="18">
                  <c:v>5.7058823529411766</c:v>
                </c:pt>
                <c:pt idx="19">
                  <c:v>5.7058823529411766</c:v>
                </c:pt>
                <c:pt idx="20">
                  <c:v>5.7058823529411766</c:v>
                </c:pt>
                <c:pt idx="21">
                  <c:v>5.7058823529411766</c:v>
                </c:pt>
                <c:pt idx="22">
                  <c:v>5.7058823529411766</c:v>
                </c:pt>
                <c:pt idx="23">
                  <c:v>5.7058823529411766</c:v>
                </c:pt>
                <c:pt idx="24">
                  <c:v>5.7058823529411766</c:v>
                </c:pt>
                <c:pt idx="25">
                  <c:v>5.7058823529411766</c:v>
                </c:pt>
                <c:pt idx="26">
                  <c:v>5.7058823529411766</c:v>
                </c:pt>
                <c:pt idx="27">
                  <c:v>5.7058823529411766</c:v>
                </c:pt>
                <c:pt idx="28">
                  <c:v>5.7058823529411766</c:v>
                </c:pt>
                <c:pt idx="29">
                  <c:v>5.7058823529411766</c:v>
                </c:pt>
                <c:pt idx="30">
                  <c:v>5.7058823529411766</c:v>
                </c:pt>
                <c:pt idx="31">
                  <c:v>5.7058823529411766</c:v>
                </c:pt>
                <c:pt idx="32">
                  <c:v>5.7058823529411766</c:v>
                </c:pt>
                <c:pt idx="33">
                  <c:v>5.7058823529411766</c:v>
                </c:pt>
                <c:pt idx="34">
                  <c:v>5.7058823529411766</c:v>
                </c:pt>
                <c:pt idx="35">
                  <c:v>5.7058823529411766</c:v>
                </c:pt>
                <c:pt idx="36">
                  <c:v>5.7058823529411766</c:v>
                </c:pt>
                <c:pt idx="37">
                  <c:v>5.7058823529411766</c:v>
                </c:pt>
                <c:pt idx="38">
                  <c:v>5.7058823529411766</c:v>
                </c:pt>
                <c:pt idx="39">
                  <c:v>5.7058823529411766</c:v>
                </c:pt>
                <c:pt idx="40">
                  <c:v>5.7058823529411766</c:v>
                </c:pt>
                <c:pt idx="41">
                  <c:v>5.7058823529411766</c:v>
                </c:pt>
                <c:pt idx="42">
                  <c:v>5.7058823529411766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A2-4A3F-B99A-8A67784FF4B1}"/>
            </c:ext>
          </c:extLst>
        </c:ser>
        <c:ser>
          <c:idx val="6"/>
          <c:order val="6"/>
          <c:tx>
            <c:v>C: τ2 220</c:v>
          </c:tx>
          <c:spPr>
            <a:ln w="47520">
              <a:solidFill>
                <a:srgbClr val="AFC689"/>
              </a:solidFill>
              <a:round/>
            </a:ln>
          </c:spPr>
          <c:marker>
            <c:symbol val="circle"/>
            <c:size val="4"/>
            <c:spPr>
              <a:solidFill>
                <a:srgbClr val="AFC68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laws'!$H$5:$H$47</c:f>
              <c:numCache>
                <c:formatCode>0.00</c:formatCode>
                <c:ptCount val="43"/>
                <c:pt idx="0">
                  <c:v>1.2941176470588234</c:v>
                </c:pt>
                <c:pt idx="1">
                  <c:v>1.2941176470588234</c:v>
                </c:pt>
                <c:pt idx="2">
                  <c:v>1.2941176470588234</c:v>
                </c:pt>
                <c:pt idx="3">
                  <c:v>1.2941176470588234</c:v>
                </c:pt>
                <c:pt idx="4">
                  <c:v>1.2941176470588234</c:v>
                </c:pt>
                <c:pt idx="5">
                  <c:v>1.2941176470588234</c:v>
                </c:pt>
                <c:pt idx="6">
                  <c:v>1.2941176470588234</c:v>
                </c:pt>
                <c:pt idx="7">
                  <c:v>1.2941176470588234</c:v>
                </c:pt>
                <c:pt idx="8">
                  <c:v>1.2941176470588234</c:v>
                </c:pt>
                <c:pt idx="9">
                  <c:v>1.2941176470588234</c:v>
                </c:pt>
                <c:pt idx="10">
                  <c:v>1.2941176470588234</c:v>
                </c:pt>
                <c:pt idx="11">
                  <c:v>1.2941176470588234</c:v>
                </c:pt>
                <c:pt idx="12">
                  <c:v>1.2941176470588234</c:v>
                </c:pt>
                <c:pt idx="13">
                  <c:v>1.2941176470588234</c:v>
                </c:pt>
                <c:pt idx="14">
                  <c:v>1.2941176470588234</c:v>
                </c:pt>
                <c:pt idx="15">
                  <c:v>1.2941176470588234</c:v>
                </c:pt>
                <c:pt idx="16">
                  <c:v>1.2941176470588234</c:v>
                </c:pt>
                <c:pt idx="17">
                  <c:v>1.2941176470588234</c:v>
                </c:pt>
                <c:pt idx="18">
                  <c:v>1.2941176470588234</c:v>
                </c:pt>
                <c:pt idx="19">
                  <c:v>1.2941176470588234</c:v>
                </c:pt>
                <c:pt idx="20">
                  <c:v>1.2941176470588234</c:v>
                </c:pt>
                <c:pt idx="21">
                  <c:v>1.2941176470588234</c:v>
                </c:pt>
                <c:pt idx="22">
                  <c:v>1.2941176470588234</c:v>
                </c:pt>
                <c:pt idx="23">
                  <c:v>1.2941176470588234</c:v>
                </c:pt>
                <c:pt idx="24">
                  <c:v>1.2941176470588234</c:v>
                </c:pt>
                <c:pt idx="25">
                  <c:v>1.2941176470588234</c:v>
                </c:pt>
                <c:pt idx="26">
                  <c:v>1.2941176470588234</c:v>
                </c:pt>
                <c:pt idx="27">
                  <c:v>1.2941176470588234</c:v>
                </c:pt>
                <c:pt idx="28">
                  <c:v>1.2941176470588234</c:v>
                </c:pt>
                <c:pt idx="29">
                  <c:v>1.2941176470588234</c:v>
                </c:pt>
                <c:pt idx="30">
                  <c:v>1.2941176470588234</c:v>
                </c:pt>
                <c:pt idx="31">
                  <c:v>1.2941176470588234</c:v>
                </c:pt>
                <c:pt idx="32">
                  <c:v>1.2941176470588234</c:v>
                </c:pt>
                <c:pt idx="33">
                  <c:v>1.2941176470588234</c:v>
                </c:pt>
                <c:pt idx="34">
                  <c:v>1.2941176470588234</c:v>
                </c:pt>
                <c:pt idx="35">
                  <c:v>1.2941176470588234</c:v>
                </c:pt>
                <c:pt idx="36">
                  <c:v>1.2941176470588234</c:v>
                </c:pt>
                <c:pt idx="37">
                  <c:v>1.2941176470588234</c:v>
                </c:pt>
                <c:pt idx="38">
                  <c:v>1.2941176470588234</c:v>
                </c:pt>
                <c:pt idx="39">
                  <c:v>1.2941176470588234</c:v>
                </c:pt>
                <c:pt idx="40">
                  <c:v>1.2941176470588234</c:v>
                </c:pt>
                <c:pt idx="41">
                  <c:v>1.2941176470588234</c:v>
                </c:pt>
                <c:pt idx="42">
                  <c:v>1.2941176470588234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A2-4A3F-B99A-8A67784FF4B1}"/>
            </c:ext>
          </c:extLst>
        </c:ser>
        <c:ser>
          <c:idx val="7"/>
          <c:order val="7"/>
          <c:tx>
            <c:v>B: Bitonic latency 2 arms</c:v>
          </c:tx>
          <c:spPr>
            <a:ln w="47520">
              <a:solidFill>
                <a:srgbClr val="BDCFA2"/>
              </a:solidFill>
              <a:round/>
            </a:ln>
          </c:spPr>
          <c:marker>
            <c:symbol val="circle"/>
            <c:size val="4"/>
            <c:spPr>
              <a:solidFill>
                <a:srgbClr val="BDCFA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laws'!$I$5:$I$47</c:f>
              <c:numCache>
                <c:formatCode>0.00</c:formatCode>
                <c:ptCount val="43"/>
                <c:pt idx="0">
                  <c:v>0.18</c:v>
                </c:pt>
                <c:pt idx="1">
                  <c:v>0.36</c:v>
                </c:pt>
                <c:pt idx="2">
                  <c:v>0.36</c:v>
                </c:pt>
                <c:pt idx="3">
                  <c:v>0.36</c:v>
                </c:pt>
                <c:pt idx="4">
                  <c:v>0.36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0.89999999999999991</c:v>
                </c:pt>
                <c:pt idx="16">
                  <c:v>0.89999999999999991</c:v>
                </c:pt>
                <c:pt idx="17">
                  <c:v>0.89999999999999991</c:v>
                </c:pt>
                <c:pt idx="18">
                  <c:v>0.89999999999999991</c:v>
                </c:pt>
                <c:pt idx="19">
                  <c:v>0.89999999999999991</c:v>
                </c:pt>
                <c:pt idx="20">
                  <c:v>0.89999999999999991</c:v>
                </c:pt>
                <c:pt idx="21">
                  <c:v>0.89999999999999991</c:v>
                </c:pt>
                <c:pt idx="22">
                  <c:v>0.89999999999999991</c:v>
                </c:pt>
                <c:pt idx="23">
                  <c:v>0.89999999999999991</c:v>
                </c:pt>
                <c:pt idx="24">
                  <c:v>0.89999999999999991</c:v>
                </c:pt>
                <c:pt idx="25">
                  <c:v>0.89999999999999991</c:v>
                </c:pt>
                <c:pt idx="26">
                  <c:v>0.89999999999999991</c:v>
                </c:pt>
                <c:pt idx="27">
                  <c:v>0.89999999999999991</c:v>
                </c:pt>
                <c:pt idx="28">
                  <c:v>0.89999999999999991</c:v>
                </c:pt>
                <c:pt idx="29">
                  <c:v>1.26</c:v>
                </c:pt>
                <c:pt idx="30">
                  <c:v>1.26</c:v>
                </c:pt>
                <c:pt idx="31">
                  <c:v>1.26</c:v>
                </c:pt>
                <c:pt idx="32">
                  <c:v>1.26</c:v>
                </c:pt>
                <c:pt idx="33">
                  <c:v>1.26</c:v>
                </c:pt>
                <c:pt idx="34">
                  <c:v>1.26</c:v>
                </c:pt>
                <c:pt idx="35">
                  <c:v>1.26</c:v>
                </c:pt>
                <c:pt idx="36">
                  <c:v>1.26</c:v>
                </c:pt>
                <c:pt idx="37">
                  <c:v>1.26</c:v>
                </c:pt>
                <c:pt idx="38">
                  <c:v>1.26</c:v>
                </c:pt>
                <c:pt idx="39">
                  <c:v>1.68</c:v>
                </c:pt>
                <c:pt idx="40">
                  <c:v>1.68</c:v>
                </c:pt>
                <c:pt idx="41">
                  <c:v>2.16</c:v>
                </c:pt>
                <c:pt idx="42">
                  <c:v>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A2-4A3F-B99A-8A67784FF4B1}"/>
            </c:ext>
          </c:extLst>
        </c:ser>
        <c:ser>
          <c:idx val="8"/>
          <c:order val="8"/>
          <c:tx>
            <c:v>T1 budget</c:v>
          </c:tx>
          <c:spPr>
            <a:ln w="47520">
              <a:solidFill>
                <a:srgbClr val="CAD8B5"/>
              </a:solidFill>
              <a:round/>
            </a:ln>
          </c:spPr>
          <c:marker>
            <c:symbol val="circle"/>
            <c:size val="4"/>
            <c:spPr>
              <a:solidFill>
                <a:srgbClr val="CAD8B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laws'!$J$5:$J$47</c:f>
              <c:numCache>
                <c:formatCode>0</c:formatCode>
                <c:ptCount val="4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A2-4A3F-B99A-8A67784FF4B1}"/>
            </c:ext>
          </c:extLst>
        </c:ser>
        <c:ser>
          <c:idx val="9"/>
          <c:order val="9"/>
          <c:tx>
            <c:v>T1 at f_ctrl = 4·N·f0</c:v>
          </c:tx>
          <c:spPr>
            <a:ln w="47520">
              <a:solidFill>
                <a:srgbClr val="D6E0C7"/>
              </a:solidFill>
              <a:round/>
            </a:ln>
          </c:spPr>
          <c:marker>
            <c:symbol val="circle"/>
            <c:size val="4"/>
            <c:spPr>
              <a:solidFill>
                <a:srgbClr val="D6E0C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laws'!$K$5:$K$47</c:f>
              <c:numCache>
                <c:formatCode>0.0</c:formatCode>
                <c:ptCount val="43"/>
                <c:pt idx="0">
                  <c:v>1250</c:v>
                </c:pt>
                <c:pt idx="1">
                  <c:v>1000</c:v>
                </c:pt>
                <c:pt idx="2">
                  <c:v>833.33333333333337</c:v>
                </c:pt>
                <c:pt idx="3">
                  <c:v>714.28571428571433</c:v>
                </c:pt>
                <c:pt idx="4">
                  <c:v>625</c:v>
                </c:pt>
                <c:pt idx="5">
                  <c:v>555.55555555555554</c:v>
                </c:pt>
                <c:pt idx="6">
                  <c:v>500</c:v>
                </c:pt>
                <c:pt idx="7">
                  <c:v>454.54545454545456</c:v>
                </c:pt>
                <c:pt idx="8">
                  <c:v>416.66666666666669</c:v>
                </c:pt>
                <c:pt idx="9">
                  <c:v>384.61538461538464</c:v>
                </c:pt>
                <c:pt idx="10">
                  <c:v>357.14285714285717</c:v>
                </c:pt>
                <c:pt idx="11">
                  <c:v>333.33333333333331</c:v>
                </c:pt>
                <c:pt idx="12">
                  <c:v>312.5</c:v>
                </c:pt>
                <c:pt idx="13">
                  <c:v>294.11764705882348</c:v>
                </c:pt>
                <c:pt idx="14">
                  <c:v>277.77777777777777</c:v>
                </c:pt>
                <c:pt idx="15">
                  <c:v>263.15789473684208</c:v>
                </c:pt>
                <c:pt idx="16">
                  <c:v>250</c:v>
                </c:pt>
                <c:pt idx="17">
                  <c:v>238.0952380952381</c:v>
                </c:pt>
                <c:pt idx="18">
                  <c:v>227.27272727272728</c:v>
                </c:pt>
                <c:pt idx="19">
                  <c:v>217.39130434782609</c:v>
                </c:pt>
                <c:pt idx="20">
                  <c:v>208.33333333333334</c:v>
                </c:pt>
                <c:pt idx="21">
                  <c:v>200</c:v>
                </c:pt>
                <c:pt idx="22">
                  <c:v>192.30769230769232</c:v>
                </c:pt>
                <c:pt idx="23">
                  <c:v>185.18518518518516</c:v>
                </c:pt>
                <c:pt idx="24">
                  <c:v>178.57142857142858</c:v>
                </c:pt>
                <c:pt idx="25">
                  <c:v>172.41379310344826</c:v>
                </c:pt>
                <c:pt idx="26">
                  <c:v>166.66666666666666</c:v>
                </c:pt>
                <c:pt idx="27">
                  <c:v>161.29032258064515</c:v>
                </c:pt>
                <c:pt idx="28">
                  <c:v>156.25</c:v>
                </c:pt>
                <c:pt idx="29">
                  <c:v>151.5151515151515</c:v>
                </c:pt>
                <c:pt idx="30">
                  <c:v>147.05882352941174</c:v>
                </c:pt>
                <c:pt idx="31">
                  <c:v>142.85714285714286</c:v>
                </c:pt>
                <c:pt idx="32">
                  <c:v>138.88888888888889</c:v>
                </c:pt>
                <c:pt idx="33">
                  <c:v>135.13513513513513</c:v>
                </c:pt>
                <c:pt idx="34">
                  <c:v>131.57894736842104</c:v>
                </c:pt>
                <c:pt idx="35">
                  <c:v>128.2051282051282</c:v>
                </c:pt>
                <c:pt idx="36">
                  <c:v>125</c:v>
                </c:pt>
                <c:pt idx="37">
                  <c:v>104.16666666666667</c:v>
                </c:pt>
                <c:pt idx="38">
                  <c:v>78.125</c:v>
                </c:pt>
                <c:pt idx="39">
                  <c:v>52.083333333333336</c:v>
                </c:pt>
                <c:pt idx="40">
                  <c:v>39.0625</c:v>
                </c:pt>
                <c:pt idx="41">
                  <c:v>26.041666666666668</c:v>
                </c:pt>
                <c:pt idx="42">
                  <c:v>19.53125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A2-4A3F-B99A-8A67784FF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5976"/>
        <c:axId val="67728029"/>
      </c:scatterChart>
      <c:valAx>
        <c:axId val="53765976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28029"/>
        <c:crosses val="autoZero"/>
        <c:crossBetween val="midCat"/>
      </c:valAx>
      <c:valAx>
        <c:axId val="6772802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659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Scaling laws — acquisition / communication time per period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Acq single SPI</c:v>
          </c:tx>
          <c:spPr>
            <a:ln w="47520">
              <a:solidFill>
                <a:srgbClr val="789142"/>
              </a:solidFill>
              <a:round/>
            </a:ln>
          </c:spPr>
          <c:marker>
            <c:symbol val="circle"/>
            <c:size val="4"/>
            <c:spPr>
              <a:solidFill>
                <a:srgbClr val="78914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laws'!$L$5:$L$47</c:f>
              <c:numCache>
                <c:formatCode>0.0</c:formatCode>
                <c:ptCount val="43"/>
                <c:pt idx="0">
                  <c:v>28.799999999999997</c:v>
                </c:pt>
                <c:pt idx="1">
                  <c:v>36</c:v>
                </c:pt>
                <c:pt idx="2">
                  <c:v>43.2</c:v>
                </c:pt>
                <c:pt idx="3">
                  <c:v>50.4</c:v>
                </c:pt>
                <c:pt idx="4">
                  <c:v>57.599999999999994</c:v>
                </c:pt>
                <c:pt idx="5">
                  <c:v>64.8</c:v>
                </c:pt>
                <c:pt idx="6">
                  <c:v>72</c:v>
                </c:pt>
                <c:pt idx="7">
                  <c:v>79.2</c:v>
                </c:pt>
                <c:pt idx="8">
                  <c:v>86.4</c:v>
                </c:pt>
                <c:pt idx="9">
                  <c:v>93.6</c:v>
                </c:pt>
                <c:pt idx="10">
                  <c:v>100.8</c:v>
                </c:pt>
                <c:pt idx="11">
                  <c:v>108</c:v>
                </c:pt>
                <c:pt idx="12">
                  <c:v>115.19999999999999</c:v>
                </c:pt>
                <c:pt idx="13">
                  <c:v>122.39999999999999</c:v>
                </c:pt>
                <c:pt idx="14">
                  <c:v>129.6</c:v>
                </c:pt>
                <c:pt idx="15">
                  <c:v>136.79999999999998</c:v>
                </c:pt>
                <c:pt idx="16">
                  <c:v>144</c:v>
                </c:pt>
                <c:pt idx="17">
                  <c:v>151.19999999999999</c:v>
                </c:pt>
                <c:pt idx="18">
                  <c:v>158.4</c:v>
                </c:pt>
                <c:pt idx="19">
                  <c:v>165.6</c:v>
                </c:pt>
                <c:pt idx="20">
                  <c:v>172.8</c:v>
                </c:pt>
                <c:pt idx="21">
                  <c:v>179.99999999999997</c:v>
                </c:pt>
                <c:pt idx="22">
                  <c:v>187.2</c:v>
                </c:pt>
                <c:pt idx="23">
                  <c:v>194.39999999999998</c:v>
                </c:pt>
                <c:pt idx="24">
                  <c:v>201.6</c:v>
                </c:pt>
                <c:pt idx="25">
                  <c:v>208.79999999999998</c:v>
                </c:pt>
                <c:pt idx="26">
                  <c:v>216</c:v>
                </c:pt>
                <c:pt idx="27">
                  <c:v>223.2</c:v>
                </c:pt>
                <c:pt idx="28">
                  <c:v>230.39999999999998</c:v>
                </c:pt>
                <c:pt idx="29">
                  <c:v>237.6</c:v>
                </c:pt>
                <c:pt idx="30">
                  <c:v>244.79999999999998</c:v>
                </c:pt>
                <c:pt idx="31">
                  <c:v>252</c:v>
                </c:pt>
                <c:pt idx="32">
                  <c:v>259.2</c:v>
                </c:pt>
                <c:pt idx="33">
                  <c:v>266.39999999999998</c:v>
                </c:pt>
                <c:pt idx="34">
                  <c:v>273.59999999999997</c:v>
                </c:pt>
                <c:pt idx="35">
                  <c:v>280.8</c:v>
                </c:pt>
                <c:pt idx="36">
                  <c:v>288</c:v>
                </c:pt>
                <c:pt idx="37">
                  <c:v>345.6</c:v>
                </c:pt>
                <c:pt idx="38">
                  <c:v>460.79999999999995</c:v>
                </c:pt>
                <c:pt idx="39">
                  <c:v>691.2</c:v>
                </c:pt>
                <c:pt idx="40">
                  <c:v>921.59999999999991</c:v>
                </c:pt>
                <c:pt idx="41">
                  <c:v>1382.4</c:v>
                </c:pt>
                <c:pt idx="42">
                  <c:v>1843.1999999999998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E-4E72-A608-E508BD750902}"/>
            </c:ext>
          </c:extLst>
        </c:ser>
        <c:ser>
          <c:idx val="1"/>
          <c:order val="1"/>
          <c:tx>
            <c:v>Acq Aurora</c:v>
          </c:tx>
          <c:spPr>
            <a:ln w="47520">
              <a:solidFill>
                <a:srgbClr val="8EAD4F"/>
              </a:solidFill>
              <a:round/>
            </a:ln>
          </c:spPr>
          <c:marker>
            <c:symbol val="circle"/>
            <c:size val="4"/>
            <c:spPr>
              <a:solidFill>
                <a:srgbClr val="8EAD4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laws'!$M$5:$M$47</c:f>
              <c:numCache>
                <c:formatCode>0.00</c:formatCode>
                <c:ptCount val="43"/>
                <c:pt idx="0">
                  <c:v>0.32</c:v>
                </c:pt>
                <c:pt idx="1">
                  <c:v>0.39999999999999997</c:v>
                </c:pt>
                <c:pt idx="2">
                  <c:v>0.48000000000000004</c:v>
                </c:pt>
                <c:pt idx="3">
                  <c:v>0.56000000000000005</c:v>
                </c:pt>
                <c:pt idx="4">
                  <c:v>0.64</c:v>
                </c:pt>
                <c:pt idx="5">
                  <c:v>0.72</c:v>
                </c:pt>
                <c:pt idx="6">
                  <c:v>0.79999999999999993</c:v>
                </c:pt>
                <c:pt idx="7">
                  <c:v>0.88</c:v>
                </c:pt>
                <c:pt idx="8">
                  <c:v>0.96000000000000008</c:v>
                </c:pt>
                <c:pt idx="9">
                  <c:v>1.04</c:v>
                </c:pt>
                <c:pt idx="10">
                  <c:v>1.1200000000000001</c:v>
                </c:pt>
                <c:pt idx="11">
                  <c:v>1.2</c:v>
                </c:pt>
                <c:pt idx="12">
                  <c:v>1.28</c:v>
                </c:pt>
                <c:pt idx="13">
                  <c:v>1.36</c:v>
                </c:pt>
                <c:pt idx="14">
                  <c:v>1.44</c:v>
                </c:pt>
                <c:pt idx="15">
                  <c:v>1.52</c:v>
                </c:pt>
                <c:pt idx="16">
                  <c:v>1.5999999999999999</c:v>
                </c:pt>
                <c:pt idx="17">
                  <c:v>1.68</c:v>
                </c:pt>
                <c:pt idx="18">
                  <c:v>1.76</c:v>
                </c:pt>
                <c:pt idx="19">
                  <c:v>1.8399999999999999</c:v>
                </c:pt>
                <c:pt idx="20">
                  <c:v>1.9200000000000002</c:v>
                </c:pt>
                <c:pt idx="21">
                  <c:v>2</c:v>
                </c:pt>
                <c:pt idx="22">
                  <c:v>2.08</c:v>
                </c:pt>
                <c:pt idx="23">
                  <c:v>2.16</c:v>
                </c:pt>
                <c:pt idx="24">
                  <c:v>2.2400000000000002</c:v>
                </c:pt>
                <c:pt idx="25">
                  <c:v>2.3200000000000003</c:v>
                </c:pt>
                <c:pt idx="26">
                  <c:v>2.4</c:v>
                </c:pt>
                <c:pt idx="27">
                  <c:v>2.48</c:v>
                </c:pt>
                <c:pt idx="28">
                  <c:v>2.56</c:v>
                </c:pt>
                <c:pt idx="29">
                  <c:v>2.64</c:v>
                </c:pt>
                <c:pt idx="30">
                  <c:v>2.72</c:v>
                </c:pt>
                <c:pt idx="31">
                  <c:v>2.8</c:v>
                </c:pt>
                <c:pt idx="32">
                  <c:v>2.88</c:v>
                </c:pt>
                <c:pt idx="33">
                  <c:v>2.96</c:v>
                </c:pt>
                <c:pt idx="34">
                  <c:v>3.04</c:v>
                </c:pt>
                <c:pt idx="35">
                  <c:v>3.12</c:v>
                </c:pt>
                <c:pt idx="36">
                  <c:v>3.1999999999999997</c:v>
                </c:pt>
                <c:pt idx="37">
                  <c:v>3.8400000000000003</c:v>
                </c:pt>
                <c:pt idx="38">
                  <c:v>5.12</c:v>
                </c:pt>
                <c:pt idx="39">
                  <c:v>7.6800000000000006</c:v>
                </c:pt>
                <c:pt idx="40">
                  <c:v>10.24</c:v>
                </c:pt>
                <c:pt idx="41">
                  <c:v>15.360000000000001</c:v>
                </c:pt>
                <c:pt idx="42">
                  <c:v>20.48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E-4E72-A608-E508BD750902}"/>
            </c:ext>
          </c:extLst>
        </c:ser>
        <c:ser>
          <c:idx val="2"/>
          <c:order val="2"/>
          <c:tx>
            <c:v>C: comm O(1)</c:v>
          </c:tx>
          <c:spPr>
            <a:ln w="47520">
              <a:solidFill>
                <a:srgbClr val="A9C37E"/>
              </a:solidFill>
              <a:round/>
            </a:ln>
          </c:spPr>
          <c:marker>
            <c:symbol val="circle"/>
            <c:size val="4"/>
            <c:spPr>
              <a:solidFill>
                <a:srgbClr val="A9C37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laws'!$N$5:$N$47</c:f>
              <c:numCache>
                <c:formatCode>0.00</c:formatCode>
                <c:ptCount val="43"/>
                <c:pt idx="0">
                  <c:v>13.333333333333334</c:v>
                </c:pt>
                <c:pt idx="1">
                  <c:v>13.333333333333334</c:v>
                </c:pt>
                <c:pt idx="2">
                  <c:v>13.333333333333334</c:v>
                </c:pt>
                <c:pt idx="3">
                  <c:v>13.333333333333334</c:v>
                </c:pt>
                <c:pt idx="4">
                  <c:v>13.333333333333334</c:v>
                </c:pt>
                <c:pt idx="5">
                  <c:v>13.333333333333334</c:v>
                </c:pt>
                <c:pt idx="6">
                  <c:v>13.333333333333334</c:v>
                </c:pt>
                <c:pt idx="7">
                  <c:v>13.333333333333334</c:v>
                </c:pt>
                <c:pt idx="8">
                  <c:v>13.333333333333334</c:v>
                </c:pt>
                <c:pt idx="9">
                  <c:v>13.333333333333334</c:v>
                </c:pt>
                <c:pt idx="10">
                  <c:v>13.333333333333334</c:v>
                </c:pt>
                <c:pt idx="11">
                  <c:v>13.333333333333334</c:v>
                </c:pt>
                <c:pt idx="12">
                  <c:v>13.333333333333334</c:v>
                </c:pt>
                <c:pt idx="13">
                  <c:v>13.333333333333334</c:v>
                </c:pt>
                <c:pt idx="14">
                  <c:v>13.333333333333334</c:v>
                </c:pt>
                <c:pt idx="15">
                  <c:v>13.333333333333334</c:v>
                </c:pt>
                <c:pt idx="16">
                  <c:v>13.333333333333334</c:v>
                </c:pt>
                <c:pt idx="17">
                  <c:v>13.333333333333334</c:v>
                </c:pt>
                <c:pt idx="18">
                  <c:v>13.333333333333334</c:v>
                </c:pt>
                <c:pt idx="19">
                  <c:v>13.333333333333334</c:v>
                </c:pt>
                <c:pt idx="20">
                  <c:v>13.333333333333334</c:v>
                </c:pt>
                <c:pt idx="21">
                  <c:v>13.333333333333334</c:v>
                </c:pt>
                <c:pt idx="22">
                  <c:v>13.333333333333334</c:v>
                </c:pt>
                <c:pt idx="23">
                  <c:v>13.333333333333334</c:v>
                </c:pt>
                <c:pt idx="24">
                  <c:v>13.333333333333334</c:v>
                </c:pt>
                <c:pt idx="25">
                  <c:v>13.333333333333334</c:v>
                </c:pt>
                <c:pt idx="26">
                  <c:v>13.333333333333334</c:v>
                </c:pt>
                <c:pt idx="27">
                  <c:v>13.333333333333334</c:v>
                </c:pt>
                <c:pt idx="28">
                  <c:v>13.333333333333334</c:v>
                </c:pt>
                <c:pt idx="29">
                  <c:v>13.333333333333334</c:v>
                </c:pt>
                <c:pt idx="30">
                  <c:v>13.333333333333334</c:v>
                </c:pt>
                <c:pt idx="31">
                  <c:v>13.333333333333334</c:v>
                </c:pt>
                <c:pt idx="32">
                  <c:v>13.333333333333334</c:v>
                </c:pt>
                <c:pt idx="33">
                  <c:v>13.333333333333334</c:v>
                </c:pt>
                <c:pt idx="34">
                  <c:v>13.333333333333334</c:v>
                </c:pt>
                <c:pt idx="35">
                  <c:v>13.333333333333334</c:v>
                </c:pt>
                <c:pt idx="36">
                  <c:v>13.333333333333334</c:v>
                </c:pt>
                <c:pt idx="37">
                  <c:v>13.333333333333334</c:v>
                </c:pt>
                <c:pt idx="38">
                  <c:v>13.333333333333334</c:v>
                </c:pt>
                <c:pt idx="39">
                  <c:v>13.333333333333334</c:v>
                </c:pt>
                <c:pt idx="40">
                  <c:v>13.333333333333334</c:v>
                </c:pt>
                <c:pt idx="41">
                  <c:v>13.333333333333334</c:v>
                </c:pt>
                <c:pt idx="42">
                  <c:v>13.333333333333334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BE-4E72-A608-E508BD750902}"/>
            </c:ext>
          </c:extLst>
        </c:ser>
        <c:ser>
          <c:idx val="3"/>
          <c:order val="3"/>
          <c:tx>
            <c:v>T1 budget</c:v>
          </c:tx>
          <c:spPr>
            <a:ln w="47520">
              <a:solidFill>
                <a:srgbClr val="C7D6B1"/>
              </a:solidFill>
              <a:round/>
            </a:ln>
          </c:spPr>
          <c:marker>
            <c:symbol val="circle"/>
            <c:size val="4"/>
            <c:spPr>
              <a:solidFill>
                <a:srgbClr val="C7D6B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'§6 Scaling laws'!$A$5:$A$47</c:f>
              <c:numCache>
                <c:formatCode>General</c:formatCode>
                <c:ptCount val="4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  <c:pt idx="25">
                  <c:v>29</c:v>
                </c:pt>
                <c:pt idx="26">
                  <c:v>30</c:v>
                </c:pt>
                <c:pt idx="27">
                  <c:v>31</c:v>
                </c:pt>
                <c:pt idx="28">
                  <c:v>32</c:v>
                </c:pt>
                <c:pt idx="29">
                  <c:v>33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39</c:v>
                </c:pt>
                <c:pt idx="36">
                  <c:v>40</c:v>
                </c:pt>
                <c:pt idx="37">
                  <c:v>48</c:v>
                </c:pt>
                <c:pt idx="38">
                  <c:v>64</c:v>
                </c:pt>
                <c:pt idx="39">
                  <c:v>96</c:v>
                </c:pt>
                <c:pt idx="40">
                  <c:v>128</c:v>
                </c:pt>
                <c:pt idx="41">
                  <c:v>192</c:v>
                </c:pt>
                <c:pt idx="42">
                  <c:v>256</c:v>
                </c:pt>
              </c:numCache>
            </c:numRef>
          </c:xVal>
          <c:yVal>
            <c:numRef>
              <c:f>'§6 Scaling laws'!$J$5:$J$47</c:f>
              <c:numCache>
                <c:formatCode>0</c:formatCode>
                <c:ptCount val="4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BE-4E72-A608-E508BD75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84152"/>
        <c:axId val="21817722"/>
      </c:scatterChart>
      <c:valAx>
        <c:axId val="5188415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17722"/>
        <c:crosses val="autoZero"/>
        <c:crossBetween val="midCat"/>
      </c:valAx>
      <c:valAx>
        <c:axId val="2181772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µs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8841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Staircase quantization THD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THD ≈ 0.816/N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4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'§9 Harmonics'!$A$5:$A$17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12</c:v>
                </c:pt>
                <c:pt idx="4">
                  <c:v>15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27</c:v>
                </c:pt>
                <c:pt idx="9">
                  <c:v>28</c:v>
                </c:pt>
                <c:pt idx="10">
                  <c:v>32</c:v>
                </c:pt>
                <c:pt idx="11">
                  <c:v>48</c:v>
                </c:pt>
                <c:pt idx="12">
                  <c:v>64</c:v>
                </c:pt>
              </c:numCache>
            </c:numRef>
          </c:xVal>
          <c:yVal>
            <c:numRef>
              <c:f>'§9 Harmonics'!$B$5:$B$17</c:f>
              <c:numCache>
                <c:formatCode>0.0%</c:formatCode>
                <c:ptCount val="13"/>
                <c:pt idx="0">
                  <c:v>0.20399999999999999</c:v>
                </c:pt>
                <c:pt idx="1">
                  <c:v>0.16319999999999998</c:v>
                </c:pt>
                <c:pt idx="2">
                  <c:v>0.10199999999999999</c:v>
                </c:pt>
                <c:pt idx="3">
                  <c:v>6.7999999999999991E-2</c:v>
                </c:pt>
                <c:pt idx="4">
                  <c:v>5.4399999999999997E-2</c:v>
                </c:pt>
                <c:pt idx="5">
                  <c:v>5.0999999999999997E-2</c:v>
                </c:pt>
                <c:pt idx="6">
                  <c:v>4.0799999999999996E-2</c:v>
                </c:pt>
                <c:pt idx="7">
                  <c:v>3.3999999999999996E-2</c:v>
                </c:pt>
                <c:pt idx="8">
                  <c:v>3.022222222222222E-2</c:v>
                </c:pt>
                <c:pt idx="9">
                  <c:v>2.914285714285714E-2</c:v>
                </c:pt>
                <c:pt idx="10">
                  <c:v>2.5499999999999998E-2</c:v>
                </c:pt>
                <c:pt idx="11">
                  <c:v>1.6999999999999998E-2</c:v>
                </c:pt>
                <c:pt idx="12">
                  <c:v>1.2749999999999999E-2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4-453B-82AE-E8FBAD58D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11824"/>
        <c:axId val="17568570"/>
      </c:scatterChart>
      <c:valAx>
        <c:axId val="29811824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 per arm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68570"/>
        <c:crosses val="autoZero"/>
        <c:crossBetween val="midCat"/>
      </c:valAx>
      <c:valAx>
        <c:axId val="1756857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THD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118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</xdr:row>
      <xdr:rowOff>176040</xdr:rowOff>
    </xdr:from>
    <xdr:to>
      <xdr:col>32</xdr:col>
      <xdr:colOff>364680</xdr:colOff>
      <xdr:row>20</xdr:row>
      <xdr:rowOff>92160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23</xdr:row>
      <xdr:rowOff>111600</xdr:rowOff>
    </xdr:from>
    <xdr:to>
      <xdr:col>32</xdr:col>
      <xdr:colOff>364680</xdr:colOff>
      <xdr:row>42</xdr:row>
      <xdr:rowOff>91800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45</xdr:row>
      <xdr:rowOff>111960</xdr:rowOff>
    </xdr:from>
    <xdr:to>
      <xdr:col>32</xdr:col>
      <xdr:colOff>364680</xdr:colOff>
      <xdr:row>64</xdr:row>
      <xdr:rowOff>91800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176040</xdr:rowOff>
    </xdr:from>
    <xdr:to>
      <xdr:col>24</xdr:col>
      <xdr:colOff>364320</xdr:colOff>
      <xdr:row>20</xdr:row>
      <xdr:rowOff>92160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23</xdr:row>
      <xdr:rowOff>111600</xdr:rowOff>
    </xdr:from>
    <xdr:to>
      <xdr:col>24</xdr:col>
      <xdr:colOff>364320</xdr:colOff>
      <xdr:row>42</xdr:row>
      <xdr:rowOff>91800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176040</xdr:rowOff>
    </xdr:from>
    <xdr:to>
      <xdr:col>19</xdr:col>
      <xdr:colOff>364320</xdr:colOff>
      <xdr:row>20</xdr:row>
      <xdr:rowOff>9360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176040</xdr:rowOff>
    </xdr:from>
    <xdr:to>
      <xdr:col>29</xdr:col>
      <xdr:colOff>78480</xdr:colOff>
      <xdr:row>27</xdr:row>
      <xdr:rowOff>56160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30</xdr:row>
      <xdr:rowOff>160200</xdr:rowOff>
    </xdr:from>
    <xdr:to>
      <xdr:col>29</xdr:col>
      <xdr:colOff>78480</xdr:colOff>
      <xdr:row>51</xdr:row>
      <xdr:rowOff>366840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17</xdr:col>
      <xdr:colOff>364680</xdr:colOff>
      <xdr:row>20</xdr:row>
      <xdr:rowOff>122040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zoomScaleNormal="100" workbookViewId="0"/>
  </sheetViews>
  <sheetFormatPr baseColWidth="10" defaultColWidth="8.6328125" defaultRowHeight="14.5" x14ac:dyDescent="0.35"/>
  <cols>
    <col min="1" max="1" width="18" customWidth="1"/>
    <col min="2" max="2" width="120" customWidth="1"/>
  </cols>
  <sheetData>
    <row r="1" spans="1:2" ht="16.5" x14ac:dyDescent="0.35">
      <c r="A1" s="1" t="s">
        <v>0</v>
      </c>
    </row>
    <row r="3" spans="1:2" ht="26" x14ac:dyDescent="0.35">
      <c r="A3" s="2" t="s">
        <v>1</v>
      </c>
      <c r="B3" s="3" t="s">
        <v>2</v>
      </c>
    </row>
    <row r="4" spans="1:2" ht="26" x14ac:dyDescent="0.35">
      <c r="A4" s="2" t="s">
        <v>3</v>
      </c>
      <c r="B4" s="3" t="s">
        <v>4</v>
      </c>
    </row>
    <row r="5" spans="1:2" x14ac:dyDescent="0.35">
      <c r="A5" s="2" t="s">
        <v>5</v>
      </c>
      <c r="B5" s="3" t="s">
        <v>6</v>
      </c>
    </row>
    <row r="6" spans="1:2" ht="26" x14ac:dyDescent="0.35">
      <c r="A6" s="2" t="s">
        <v>7</v>
      </c>
      <c r="B6" s="3" t="s">
        <v>8</v>
      </c>
    </row>
    <row r="7" spans="1:2" x14ac:dyDescent="0.35">
      <c r="A7" s="2" t="s">
        <v>9</v>
      </c>
      <c r="B7" s="3" t="s">
        <v>10</v>
      </c>
    </row>
    <row r="8" spans="1:2" ht="26" x14ac:dyDescent="0.35">
      <c r="A8" s="2" t="s">
        <v>11</v>
      </c>
      <c r="B8" s="3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showGridLines="0" topLeftCell="B22" zoomScaleNormal="100" workbookViewId="0"/>
  </sheetViews>
  <sheetFormatPr baseColWidth="10" defaultColWidth="8.6328125" defaultRowHeight="14.5" x14ac:dyDescent="0.35"/>
  <cols>
    <col min="1" max="1" width="14" customWidth="1"/>
    <col min="2" max="2" width="46" customWidth="1"/>
    <col min="3" max="3" width="14" customWidth="1"/>
    <col min="4" max="4" width="10" customWidth="1"/>
    <col min="5" max="5" width="60" customWidth="1"/>
  </cols>
  <sheetData>
    <row r="1" spans="1:5" ht="16.5" x14ac:dyDescent="0.35">
      <c r="A1" s="1" t="s">
        <v>13</v>
      </c>
    </row>
    <row r="2" spans="1:5" x14ac:dyDescent="0.35">
      <c r="A2" s="4" t="s">
        <v>14</v>
      </c>
    </row>
    <row r="4" spans="1:5" x14ac:dyDescent="0.3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 x14ac:dyDescent="0.35">
      <c r="A5" s="6" t="s">
        <v>20</v>
      </c>
      <c r="B5" s="7" t="s">
        <v>21</v>
      </c>
      <c r="C5" s="8">
        <v>170000000</v>
      </c>
      <c r="D5" s="7" t="s">
        <v>22</v>
      </c>
      <c r="E5" s="7" t="s">
        <v>23</v>
      </c>
    </row>
    <row r="6" spans="1:5" x14ac:dyDescent="0.35">
      <c r="A6" s="6" t="s">
        <v>24</v>
      </c>
      <c r="B6" s="7" t="s">
        <v>25</v>
      </c>
      <c r="C6" s="9">
        <v>1E-4</v>
      </c>
      <c r="D6" s="7" t="s">
        <v>26</v>
      </c>
      <c r="E6" s="7" t="s">
        <v>27</v>
      </c>
    </row>
    <row r="7" spans="1:5" x14ac:dyDescent="0.35">
      <c r="A7" s="6" t="s">
        <v>28</v>
      </c>
      <c r="B7" s="7" t="s">
        <v>29</v>
      </c>
      <c r="C7" s="9">
        <v>1E-3</v>
      </c>
      <c r="D7" s="7" t="s">
        <v>26</v>
      </c>
      <c r="E7" s="7" t="s">
        <v>30</v>
      </c>
    </row>
    <row r="8" spans="1:5" x14ac:dyDescent="0.35">
      <c r="A8" s="6" t="s">
        <v>31</v>
      </c>
      <c r="B8" s="7" t="s">
        <v>32</v>
      </c>
      <c r="C8" s="8">
        <v>0.01</v>
      </c>
      <c r="D8" s="7" t="s">
        <v>26</v>
      </c>
      <c r="E8" s="7" t="s">
        <v>33</v>
      </c>
    </row>
    <row r="9" spans="1:5" x14ac:dyDescent="0.35">
      <c r="A9" s="6" t="s">
        <v>34</v>
      </c>
      <c r="B9" s="7" t="s">
        <v>35</v>
      </c>
      <c r="C9" s="8">
        <v>50</v>
      </c>
      <c r="D9" s="7" t="s">
        <v>22</v>
      </c>
      <c r="E9" s="7"/>
    </row>
    <row r="10" spans="1:5" x14ac:dyDescent="0.35">
      <c r="A10" s="6" t="s">
        <v>36</v>
      </c>
      <c r="B10" s="7" t="s">
        <v>37</v>
      </c>
      <c r="C10" s="8">
        <v>32</v>
      </c>
      <c r="D10" s="7" t="s">
        <v>38</v>
      </c>
      <c r="E10" s="7" t="s">
        <v>39</v>
      </c>
    </row>
    <row r="11" spans="1:5" x14ac:dyDescent="0.35">
      <c r="A11" s="6" t="s">
        <v>40</v>
      </c>
      <c r="B11" s="7" t="s">
        <v>41</v>
      </c>
      <c r="C11" s="8">
        <v>15</v>
      </c>
      <c r="D11" s="7" t="s">
        <v>42</v>
      </c>
      <c r="E11" s="7" t="s">
        <v>43</v>
      </c>
    </row>
    <row r="12" spans="1:5" x14ac:dyDescent="0.35">
      <c r="A12" s="6" t="s">
        <v>44</v>
      </c>
      <c r="B12" s="7" t="s">
        <v>45</v>
      </c>
      <c r="C12" s="8">
        <v>1</v>
      </c>
      <c r="D12" s="7" t="s">
        <v>42</v>
      </c>
      <c r="E12" s="7" t="s">
        <v>46</v>
      </c>
    </row>
    <row r="13" spans="1:5" x14ac:dyDescent="0.35">
      <c r="A13" s="6" t="s">
        <v>47</v>
      </c>
      <c r="B13" s="7" t="s">
        <v>48</v>
      </c>
      <c r="C13" s="8">
        <v>0.7</v>
      </c>
      <c r="D13" s="7" t="s">
        <v>42</v>
      </c>
      <c r="E13" s="7" t="s">
        <v>49</v>
      </c>
    </row>
    <row r="14" spans="1:5" x14ac:dyDescent="0.35">
      <c r="A14" s="6" t="s">
        <v>50</v>
      </c>
      <c r="B14" s="7" t="s">
        <v>51</v>
      </c>
      <c r="C14" s="8">
        <v>3</v>
      </c>
      <c r="D14" s="7" t="s">
        <v>52</v>
      </c>
      <c r="E14" s="7" t="s">
        <v>53</v>
      </c>
    </row>
    <row r="15" spans="1:5" x14ac:dyDescent="0.35">
      <c r="A15" s="6" t="s">
        <v>54</v>
      </c>
      <c r="B15" s="7" t="s">
        <v>55</v>
      </c>
      <c r="C15" s="8">
        <v>14</v>
      </c>
      <c r="D15" s="7" t="s">
        <v>52</v>
      </c>
      <c r="E15" s="7" t="s">
        <v>56</v>
      </c>
    </row>
    <row r="16" spans="1:5" x14ac:dyDescent="0.35">
      <c r="A16" s="6" t="s">
        <v>57</v>
      </c>
      <c r="B16" s="7" t="s">
        <v>58</v>
      </c>
      <c r="C16" s="8">
        <v>50</v>
      </c>
      <c r="D16" s="7" t="s">
        <v>52</v>
      </c>
      <c r="E16" s="7"/>
    </row>
    <row r="17" spans="1:5" x14ac:dyDescent="0.35">
      <c r="A17" s="6" t="s">
        <v>59</v>
      </c>
      <c r="B17" s="7" t="s">
        <v>60</v>
      </c>
      <c r="C17" s="8">
        <v>60</v>
      </c>
      <c r="D17" s="7" t="s">
        <v>52</v>
      </c>
      <c r="E17" s="7"/>
    </row>
    <row r="18" spans="1:5" x14ac:dyDescent="0.35">
      <c r="A18" s="6" t="s">
        <v>61</v>
      </c>
      <c r="B18" s="7" t="s">
        <v>62</v>
      </c>
      <c r="C18" s="8">
        <v>20</v>
      </c>
      <c r="D18" s="7" t="s">
        <v>52</v>
      </c>
      <c r="E18" s="7"/>
    </row>
    <row r="19" spans="1:5" x14ac:dyDescent="0.35">
      <c r="A19" s="6" t="s">
        <v>63</v>
      </c>
      <c r="B19" s="7" t="s">
        <v>64</v>
      </c>
      <c r="C19" s="8">
        <v>4</v>
      </c>
      <c r="D19" s="7" t="s">
        <v>65</v>
      </c>
      <c r="E19" s="7"/>
    </row>
    <row r="20" spans="1:5" x14ac:dyDescent="0.35">
      <c r="A20" s="6" t="s">
        <v>66</v>
      </c>
      <c r="B20" s="7" t="s">
        <v>67</v>
      </c>
      <c r="C20" s="8">
        <v>40</v>
      </c>
      <c r="D20" s="7" t="s">
        <v>52</v>
      </c>
      <c r="E20" s="7"/>
    </row>
    <row r="21" spans="1:5" x14ac:dyDescent="0.35">
      <c r="A21" s="6" t="s">
        <v>68</v>
      </c>
      <c r="B21" s="7" t="s">
        <v>69</v>
      </c>
      <c r="C21" s="8">
        <v>12</v>
      </c>
      <c r="D21" s="7" t="s">
        <v>52</v>
      </c>
      <c r="E21" s="7" t="s">
        <v>70</v>
      </c>
    </row>
    <row r="22" spans="1:5" x14ac:dyDescent="0.35">
      <c r="A22" s="6" t="s">
        <v>71</v>
      </c>
      <c r="B22" s="7" t="s">
        <v>72</v>
      </c>
      <c r="C22" s="8">
        <v>11</v>
      </c>
      <c r="D22" s="7" t="s">
        <v>52</v>
      </c>
      <c r="E22" s="7" t="s">
        <v>70</v>
      </c>
    </row>
    <row r="23" spans="1:5" x14ac:dyDescent="0.35">
      <c r="A23" s="6" t="s">
        <v>73</v>
      </c>
      <c r="B23" s="7" t="s">
        <v>74</v>
      </c>
      <c r="C23" s="8">
        <v>50</v>
      </c>
      <c r="D23" s="7" t="s">
        <v>52</v>
      </c>
      <c r="E23" s="7"/>
    </row>
    <row r="24" spans="1:5" x14ac:dyDescent="0.35">
      <c r="A24" s="6" t="s">
        <v>75</v>
      </c>
      <c r="B24" s="7" t="s">
        <v>76</v>
      </c>
      <c r="C24" s="8">
        <v>200</v>
      </c>
      <c r="D24" s="7" t="s">
        <v>52</v>
      </c>
      <c r="E24" s="7" t="s">
        <v>77</v>
      </c>
    </row>
    <row r="25" spans="1:5" x14ac:dyDescent="0.35">
      <c r="A25" s="6" t="s">
        <v>78</v>
      </c>
      <c r="B25" s="7" t="s">
        <v>79</v>
      </c>
      <c r="C25" s="8">
        <v>19</v>
      </c>
      <c r="D25" s="7" t="s">
        <v>80</v>
      </c>
      <c r="E25" s="7" t="s">
        <v>81</v>
      </c>
    </row>
    <row r="26" spans="1:5" x14ac:dyDescent="0.35">
      <c r="A26" s="6" t="s">
        <v>82</v>
      </c>
      <c r="B26" s="7" t="s">
        <v>83</v>
      </c>
      <c r="C26" s="8">
        <v>800</v>
      </c>
      <c r="D26" s="7" t="s">
        <v>52</v>
      </c>
      <c r="E26" s="7" t="s">
        <v>84</v>
      </c>
    </row>
    <row r="27" spans="1:5" x14ac:dyDescent="0.35">
      <c r="A27" s="6" t="s">
        <v>85</v>
      </c>
      <c r="B27" s="7" t="s">
        <v>86</v>
      </c>
      <c r="C27" s="8">
        <v>680</v>
      </c>
      <c r="D27" s="7" t="s">
        <v>52</v>
      </c>
      <c r="E27" s="7" t="s">
        <v>87</v>
      </c>
    </row>
    <row r="28" spans="1:5" x14ac:dyDescent="0.35">
      <c r="A28" s="6" t="s">
        <v>88</v>
      </c>
      <c r="B28" s="7" t="s">
        <v>89</v>
      </c>
      <c r="C28" s="9">
        <v>3.5999999999999998E-6</v>
      </c>
      <c r="D28" s="7" t="s">
        <v>26</v>
      </c>
      <c r="E28" s="7" t="s">
        <v>90</v>
      </c>
    </row>
    <row r="29" spans="1:5" x14ac:dyDescent="0.35">
      <c r="A29" s="6" t="s">
        <v>91</v>
      </c>
      <c r="B29" s="7" t="s">
        <v>92</v>
      </c>
      <c r="C29" s="10">
        <f>10*CEILING(C10/8,1)/3000000</f>
        <v>1.3333333333333333E-5</v>
      </c>
      <c r="D29" s="7" t="s">
        <v>26</v>
      </c>
      <c r="E29" s="7" t="s">
        <v>93</v>
      </c>
    </row>
    <row r="30" spans="1:5" x14ac:dyDescent="0.35">
      <c r="A30" s="6" t="s">
        <v>94</v>
      </c>
      <c r="B30" s="7" t="s">
        <v>95</v>
      </c>
      <c r="C30" s="9">
        <v>4.0000000000000001E-8</v>
      </c>
      <c r="D30" s="7" t="s">
        <v>26</v>
      </c>
      <c r="E30" s="7" t="s">
        <v>96</v>
      </c>
    </row>
    <row r="31" spans="1:5" x14ac:dyDescent="0.35">
      <c r="A31" s="6" t="s">
        <v>97</v>
      </c>
      <c r="B31" s="7" t="s">
        <v>98</v>
      </c>
      <c r="C31" s="9">
        <v>3.5999999999999998E-6</v>
      </c>
      <c r="D31" s="7" t="s">
        <v>26</v>
      </c>
      <c r="E31" s="7" t="s">
        <v>99</v>
      </c>
    </row>
    <row r="32" spans="1:5" x14ac:dyDescent="0.35">
      <c r="A32" s="6" t="s">
        <v>100</v>
      </c>
      <c r="B32" s="7" t="s">
        <v>101</v>
      </c>
      <c r="C32" s="8">
        <v>970</v>
      </c>
      <c r="D32" s="7" t="s">
        <v>52</v>
      </c>
      <c r="E32" s="7" t="s">
        <v>102</v>
      </c>
    </row>
    <row r="33" spans="1:5" x14ac:dyDescent="0.35">
      <c r="A33" s="6" t="s">
        <v>103</v>
      </c>
      <c r="B33" s="7" t="s">
        <v>104</v>
      </c>
      <c r="C33" s="8">
        <v>220</v>
      </c>
      <c r="D33" s="7" t="s">
        <v>52</v>
      </c>
      <c r="E33" s="7"/>
    </row>
    <row r="34" spans="1:5" x14ac:dyDescent="0.35">
      <c r="A34" s="6" t="s">
        <v>105</v>
      </c>
      <c r="B34" s="7" t="s">
        <v>106</v>
      </c>
      <c r="C34" s="8">
        <v>800</v>
      </c>
      <c r="D34" s="7" t="s">
        <v>52</v>
      </c>
      <c r="E34" s="7"/>
    </row>
    <row r="35" spans="1:5" x14ac:dyDescent="0.35">
      <c r="A35" s="6" t="s">
        <v>107</v>
      </c>
      <c r="B35" s="7" t="s">
        <v>108</v>
      </c>
      <c r="C35" s="8">
        <v>0.2</v>
      </c>
      <c r="D35" s="7" t="s">
        <v>109</v>
      </c>
      <c r="E35" s="7" t="s">
        <v>110</v>
      </c>
    </row>
    <row r="36" spans="1:5" x14ac:dyDescent="0.35">
      <c r="A36" s="6" t="s">
        <v>111</v>
      </c>
      <c r="B36" s="7" t="s">
        <v>112</v>
      </c>
      <c r="C36" s="9">
        <v>1.6700000000000001E-6</v>
      </c>
      <c r="D36" s="7" t="s">
        <v>26</v>
      </c>
      <c r="E36" s="7" t="s">
        <v>113</v>
      </c>
    </row>
    <row r="37" spans="1:5" x14ac:dyDescent="0.35">
      <c r="A37" s="6" t="s">
        <v>114</v>
      </c>
      <c r="B37" s="7" t="s">
        <v>115</v>
      </c>
      <c r="C37" s="8">
        <v>100000000</v>
      </c>
      <c r="D37" s="7" t="s">
        <v>22</v>
      </c>
      <c r="E37" s="7" t="s">
        <v>116</v>
      </c>
    </row>
    <row r="38" spans="1:5" x14ac:dyDescent="0.35">
      <c r="A38" s="6" t="s">
        <v>117</v>
      </c>
      <c r="B38" s="7" t="s">
        <v>118</v>
      </c>
      <c r="C38" s="8">
        <v>27288</v>
      </c>
      <c r="D38" s="7" t="s">
        <v>119</v>
      </c>
      <c r="E38" s="7" t="s">
        <v>120</v>
      </c>
    </row>
    <row r="39" spans="1:5" x14ac:dyDescent="0.35">
      <c r="A39" s="6" t="s">
        <v>121</v>
      </c>
      <c r="B39" s="7" t="s">
        <v>122</v>
      </c>
      <c r="C39" s="8">
        <v>6200</v>
      </c>
      <c r="D39" s="7" t="s">
        <v>119</v>
      </c>
      <c r="E39" s="7" t="s">
        <v>116</v>
      </c>
    </row>
    <row r="40" spans="1:5" x14ac:dyDescent="0.35">
      <c r="A40" s="6" t="s">
        <v>123</v>
      </c>
      <c r="B40" s="7" t="s">
        <v>124</v>
      </c>
      <c r="C40" s="8">
        <v>20800</v>
      </c>
      <c r="D40" s="7" t="s">
        <v>119</v>
      </c>
      <c r="E40" s="7" t="s">
        <v>125</v>
      </c>
    </row>
    <row r="41" spans="1:5" x14ac:dyDescent="0.35">
      <c r="A41" s="6" t="s">
        <v>126</v>
      </c>
      <c r="B41" s="7" t="s">
        <v>127</v>
      </c>
      <c r="C41" s="8">
        <v>0.81599999999999995</v>
      </c>
      <c r="D41" s="7" t="s">
        <v>42</v>
      </c>
      <c r="E41" s="7" t="s">
        <v>128</v>
      </c>
    </row>
    <row r="42" spans="1:5" x14ac:dyDescent="0.35">
      <c r="A42" s="6" t="s">
        <v>129</v>
      </c>
      <c r="B42" s="7" t="s">
        <v>130</v>
      </c>
      <c r="C42" s="9">
        <v>9.9999999999999995E-8</v>
      </c>
      <c r="D42" s="7" t="s">
        <v>26</v>
      </c>
      <c r="E42" s="7" t="s">
        <v>131</v>
      </c>
    </row>
    <row r="43" spans="1:5" x14ac:dyDescent="0.35">
      <c r="A43" s="6" t="s">
        <v>132</v>
      </c>
      <c r="B43" s="7" t="s">
        <v>133</v>
      </c>
      <c r="C43" s="8">
        <v>200000</v>
      </c>
      <c r="D43" s="7" t="s">
        <v>22</v>
      </c>
      <c r="E43" s="7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tabSelected="1" topLeftCell="B1" zoomScaleNormal="100" workbookViewId="0"/>
  </sheetViews>
  <sheetFormatPr baseColWidth="10" defaultColWidth="8.6328125" defaultRowHeight="14.5" x14ac:dyDescent="0.35"/>
  <cols>
    <col min="1" max="1" width="22" customWidth="1"/>
    <col min="2" max="2" width="44" customWidth="1"/>
    <col min="3" max="3" width="22" customWidth="1"/>
    <col min="4" max="4" width="14" customWidth="1"/>
    <col min="5" max="5" width="10" customWidth="1"/>
  </cols>
  <sheetData>
    <row r="1" spans="1:5" ht="16.5" x14ac:dyDescent="0.35">
      <c r="A1" s="1" t="s">
        <v>135</v>
      </c>
    </row>
    <row r="4" spans="1:5" x14ac:dyDescent="0.35">
      <c r="A4" s="5" t="s">
        <v>136</v>
      </c>
      <c r="B4" s="5" t="s">
        <v>137</v>
      </c>
      <c r="C4" s="5" t="s">
        <v>138</v>
      </c>
      <c r="D4" s="5" t="s">
        <v>139</v>
      </c>
      <c r="E4" s="5" t="s">
        <v>140</v>
      </c>
    </row>
    <row r="5" spans="1:5" x14ac:dyDescent="0.35">
      <c r="A5" s="7" t="s">
        <v>141</v>
      </c>
      <c r="B5" s="7" t="s">
        <v>142</v>
      </c>
      <c r="C5" s="11">
        <f>(47+Parameters!$C$10)*1.19/1000000</f>
        <v>9.4009999999999989E-5</v>
      </c>
      <c r="D5" s="12">
        <f t="shared" ref="D5:D10" si="0">C5*1000000</f>
        <v>94.009999999999991</v>
      </c>
      <c r="E5" s="7" t="s">
        <v>143</v>
      </c>
    </row>
    <row r="6" spans="1:5" x14ac:dyDescent="0.35">
      <c r="A6" s="7" t="s">
        <v>144</v>
      </c>
      <c r="B6" s="7" t="s">
        <v>145</v>
      </c>
      <c r="C6" s="11">
        <f>29/1000000+(Parameters!$C$10+28)/5000000</f>
        <v>4.1E-5</v>
      </c>
      <c r="D6" s="12">
        <f t="shared" si="0"/>
        <v>41</v>
      </c>
      <c r="E6" s="7" t="s">
        <v>143</v>
      </c>
    </row>
    <row r="7" spans="1:5" x14ac:dyDescent="0.35">
      <c r="A7" s="7" t="s">
        <v>146</v>
      </c>
      <c r="B7" s="7" t="s">
        <v>147</v>
      </c>
      <c r="C7" s="11">
        <f>10*CEILING(Parameters!$C$10/8,1)/3000000</f>
        <v>1.3333333333333333E-5</v>
      </c>
      <c r="D7" s="12">
        <f t="shared" si="0"/>
        <v>13.333333333333334</v>
      </c>
      <c r="E7" s="7"/>
    </row>
    <row r="8" spans="1:5" x14ac:dyDescent="0.35">
      <c r="A8" s="7" t="s">
        <v>148</v>
      </c>
      <c r="B8" s="7" t="s">
        <v>149</v>
      </c>
      <c r="C8" s="11">
        <f>Parameters!$C$10/20000000+0.000002</f>
        <v>3.5999999999999998E-6</v>
      </c>
      <c r="D8" s="12">
        <f t="shared" si="0"/>
        <v>3.5999999999999996</v>
      </c>
      <c r="E8" s="7"/>
    </row>
    <row r="9" spans="1:5" x14ac:dyDescent="0.35">
      <c r="A9" s="7" t="s">
        <v>150</v>
      </c>
      <c r="B9" s="7" t="s">
        <v>151</v>
      </c>
      <c r="C9" s="11">
        <f>MAX(672,Parameters!$C$10+336)/100000000</f>
        <v>6.72E-6</v>
      </c>
      <c r="D9" s="12">
        <f t="shared" si="0"/>
        <v>6.72</v>
      </c>
      <c r="E9" s="7" t="s">
        <v>152</v>
      </c>
    </row>
    <row r="10" spans="1:5" x14ac:dyDescent="0.35">
      <c r="A10" s="7" t="s">
        <v>153</v>
      </c>
      <c r="B10" s="7" t="s">
        <v>154</v>
      </c>
      <c r="C10" s="11">
        <f>Parameters!$C$10/2500000000+0.00000004</f>
        <v>5.2800000000000003E-8</v>
      </c>
      <c r="D10" s="12">
        <f t="shared" si="0"/>
        <v>5.28E-2</v>
      </c>
      <c r="E10" s="7" t="s">
        <v>155</v>
      </c>
    </row>
    <row r="13" spans="1:5" x14ac:dyDescent="0.35">
      <c r="A13" s="2" t="s">
        <v>156</v>
      </c>
    </row>
    <row r="14" spans="1:5" x14ac:dyDescent="0.35">
      <c r="A14" s="5" t="s">
        <v>157</v>
      </c>
      <c r="B14" s="5" t="s">
        <v>158</v>
      </c>
      <c r="C14" s="5" t="s">
        <v>159</v>
      </c>
      <c r="D14" s="5" t="s">
        <v>160</v>
      </c>
      <c r="E14" s="5" t="s">
        <v>161</v>
      </c>
    </row>
    <row r="15" spans="1:5" x14ac:dyDescent="0.35">
      <c r="A15" s="13">
        <v>4</v>
      </c>
      <c r="B15" s="12">
        <f>2*A15*$C$8/Parameters!$C$6</f>
        <v>0.28799999999999998</v>
      </c>
      <c r="C15" s="12">
        <f>2*A15*$C$7/Parameters!$C$6</f>
        <v>1.0666666666666667</v>
      </c>
      <c r="D15" s="12">
        <f>2*A15*$C$6/Parameters!$C$6</f>
        <v>3.28</v>
      </c>
      <c r="E15" s="12">
        <f>2*A15*$C$9/Parameters!$C$6</f>
        <v>0.53759999999999997</v>
      </c>
    </row>
    <row r="16" spans="1:5" x14ac:dyDescent="0.35">
      <c r="A16" s="13">
        <v>8</v>
      </c>
      <c r="B16" s="12">
        <f>2*A16*$C$8/Parameters!$C$6</f>
        <v>0.57599999999999996</v>
      </c>
      <c r="C16" s="12">
        <f>2*A16*$C$7/Parameters!$C$6</f>
        <v>2.1333333333333333</v>
      </c>
      <c r="D16" s="12">
        <f>2*A16*$C$6/Parameters!$C$6</f>
        <v>6.56</v>
      </c>
      <c r="E16" s="12">
        <f>2*A16*$C$9/Parameters!$C$6</f>
        <v>1.0751999999999999</v>
      </c>
    </row>
    <row r="17" spans="1:5" x14ac:dyDescent="0.35">
      <c r="A17" s="13">
        <v>12</v>
      </c>
      <c r="B17" s="12">
        <f>2*A17*$C$8/Parameters!$C$6</f>
        <v>0.86399999999999999</v>
      </c>
      <c r="C17" s="12">
        <f>2*A17*$C$7/Parameters!$C$6</f>
        <v>3.1999999999999997</v>
      </c>
      <c r="D17" s="12">
        <f>2*A17*$C$6/Parameters!$C$6</f>
        <v>9.84</v>
      </c>
      <c r="E17" s="12">
        <f>2*A17*$C$9/Parameters!$C$6</f>
        <v>1.6128</v>
      </c>
    </row>
    <row r="18" spans="1:5" x14ac:dyDescent="0.35">
      <c r="A18" s="13">
        <v>15</v>
      </c>
      <c r="B18" s="12">
        <f>2*A18*$C$8/Parameters!$C$6</f>
        <v>1.0799999999999998</v>
      </c>
      <c r="C18" s="12">
        <f>2*A18*$C$7/Parameters!$C$6</f>
        <v>4</v>
      </c>
      <c r="D18" s="12">
        <f>2*A18*$C$6/Parameters!$C$6</f>
        <v>12.299999999999999</v>
      </c>
      <c r="E18" s="12">
        <f>2*A18*$C$9/Parameters!$C$6</f>
        <v>2.016</v>
      </c>
    </row>
    <row r="19" spans="1:5" x14ac:dyDescent="0.35">
      <c r="A19" s="13">
        <v>16</v>
      </c>
      <c r="B19" s="12">
        <f>2*A19*$C$8/Parameters!$C$6</f>
        <v>1.1519999999999999</v>
      </c>
      <c r="C19" s="12">
        <f>2*A19*$C$7/Parameters!$C$6</f>
        <v>4.2666666666666666</v>
      </c>
      <c r="D19" s="12">
        <f>2*A19*$C$6/Parameters!$C$6</f>
        <v>13.12</v>
      </c>
      <c r="E19" s="12">
        <f>2*A19*$C$9/Parameters!$C$6</f>
        <v>2.1503999999999999</v>
      </c>
    </row>
    <row r="20" spans="1:5" x14ac:dyDescent="0.35">
      <c r="A20" s="13">
        <v>24</v>
      </c>
      <c r="B20" s="12">
        <f>2*A20*$C$8/Parameters!$C$6</f>
        <v>1.728</v>
      </c>
      <c r="C20" s="12">
        <f>2*A20*$C$7/Parameters!$C$6</f>
        <v>6.3999999999999995</v>
      </c>
      <c r="D20" s="12">
        <f>2*A20*$C$6/Parameters!$C$6</f>
        <v>19.68</v>
      </c>
      <c r="E20" s="12">
        <f>2*A20*$C$9/Parameters!$C$6</f>
        <v>3.2256</v>
      </c>
    </row>
    <row r="21" spans="1:5" x14ac:dyDescent="0.35">
      <c r="A21" s="13">
        <v>32</v>
      </c>
      <c r="B21" s="12">
        <f>2*A21*$C$8/Parameters!$C$6</f>
        <v>2.3039999999999998</v>
      </c>
      <c r="C21" s="12">
        <f>2*A21*$C$7/Parameters!$C$6</f>
        <v>8.5333333333333332</v>
      </c>
      <c r="D21" s="12">
        <f>2*A21*$C$6/Parameters!$C$6</f>
        <v>26.24</v>
      </c>
      <c r="E21" s="12">
        <f>2*A21*$C$9/Parameters!$C$6</f>
        <v>4.3007999999999997</v>
      </c>
    </row>
    <row r="24" spans="1:5" x14ac:dyDescent="0.35">
      <c r="A24" s="2" t="s">
        <v>162</v>
      </c>
    </row>
    <row r="25" spans="1:5" x14ac:dyDescent="0.35">
      <c r="A25" s="5" t="s">
        <v>163</v>
      </c>
      <c r="B25" s="5" t="s">
        <v>164</v>
      </c>
      <c r="C25" s="5" t="s">
        <v>165</v>
      </c>
      <c r="D25" s="5" t="s">
        <v>166</v>
      </c>
      <c r="E25" s="5" t="s">
        <v>167</v>
      </c>
    </row>
    <row r="26" spans="1:5" ht="78" x14ac:dyDescent="0.35">
      <c r="A26" s="7" t="s">
        <v>168</v>
      </c>
      <c r="B26" s="7" t="s">
        <v>169</v>
      </c>
      <c r="C26" s="7" t="s">
        <v>170</v>
      </c>
      <c r="D26" s="14">
        <f>Parameters!$C$21*Parameters!$C$11*(Parameters!$C$11-1)+2*Parameters!$C$22*Parameters!$C$11+Parameters!$C$23</f>
        <v>2900</v>
      </c>
      <c r="E26" s="7" t="s">
        <v>171</v>
      </c>
    </row>
    <row r="27" spans="1:5" x14ac:dyDescent="0.35">
      <c r="A27" s="7" t="s">
        <v>172</v>
      </c>
      <c r="B27" s="7" t="s">
        <v>173</v>
      </c>
      <c r="C27" s="7"/>
      <c r="D27" s="14">
        <f>40*Parameters!$C$11*LOG(Parameters!$C$11,2)+10*Parameters!$C$11+50</f>
        <v>2544.1343573651111</v>
      </c>
      <c r="E27" s="7"/>
    </row>
    <row r="28" spans="1:5" x14ac:dyDescent="0.35">
      <c r="A28" s="7" t="s">
        <v>174</v>
      </c>
      <c r="B28" s="7" t="s">
        <v>175</v>
      </c>
      <c r="C28" s="7"/>
      <c r="D28" s="14">
        <f>200+6*Parameters!$C$11</f>
        <v>290</v>
      </c>
      <c r="E28" s="7"/>
    </row>
    <row r="29" spans="1:5" ht="39" x14ac:dyDescent="0.35">
      <c r="A29" s="7" t="s">
        <v>176</v>
      </c>
      <c r="B29" s="7" t="s">
        <v>177</v>
      </c>
      <c r="C29" s="7" t="s">
        <v>178</v>
      </c>
      <c r="D29" s="14">
        <f>Parameters!$C$24+Parameters!$C$25*Parameters!$C$11</f>
        <v>485</v>
      </c>
      <c r="E29" s="7" t="s">
        <v>179</v>
      </c>
    </row>
    <row r="30" spans="1:5" x14ac:dyDescent="0.35">
      <c r="A30" s="7" t="s">
        <v>180</v>
      </c>
      <c r="B30" s="7" t="s">
        <v>181</v>
      </c>
      <c r="C30" s="7" t="s">
        <v>82</v>
      </c>
      <c r="D30" s="14">
        <f>Parameters!$C$26</f>
        <v>800</v>
      </c>
      <c r="E30" s="7"/>
    </row>
    <row r="31" spans="1:5" x14ac:dyDescent="0.35">
      <c r="A31" s="7" t="s">
        <v>182</v>
      </c>
      <c r="B31" s="7" t="s">
        <v>183</v>
      </c>
      <c r="C31" s="7" t="s">
        <v>100</v>
      </c>
      <c r="D31" s="14">
        <f>Parameters!$C$32</f>
        <v>970</v>
      </c>
      <c r="E31" s="7"/>
    </row>
    <row r="32" spans="1:5" x14ac:dyDescent="0.35">
      <c r="A32" s="7" t="s">
        <v>184</v>
      </c>
      <c r="B32" s="7" t="s">
        <v>185</v>
      </c>
      <c r="C32" s="7" t="s">
        <v>103</v>
      </c>
      <c r="D32" s="14">
        <f>Parameters!$C$33</f>
        <v>220</v>
      </c>
      <c r="E32" s="7"/>
    </row>
    <row r="33" spans="1:5" x14ac:dyDescent="0.35">
      <c r="A33" s="7" t="s">
        <v>186</v>
      </c>
      <c r="B33" s="7" t="s">
        <v>187</v>
      </c>
      <c r="C33" s="7" t="s">
        <v>105</v>
      </c>
      <c r="D33" s="14">
        <f>Parameters!$C$34</f>
        <v>800</v>
      </c>
      <c r="E33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topLeftCell="C2" zoomScaleNormal="100" workbookViewId="0"/>
  </sheetViews>
  <sheetFormatPr baseColWidth="10" defaultColWidth="8.6328125" defaultRowHeight="14.5" x14ac:dyDescent="0.35"/>
  <cols>
    <col min="1" max="1" width="26" customWidth="1"/>
    <col min="2" max="2" width="44" customWidth="1"/>
    <col min="3" max="5" width="28" customWidth="1"/>
  </cols>
  <sheetData>
    <row r="1" spans="1:5" ht="16.5" x14ac:dyDescent="0.35">
      <c r="A1" s="1" t="s">
        <v>188</v>
      </c>
    </row>
    <row r="4" spans="1:5" x14ac:dyDescent="0.35">
      <c r="A4" s="5" t="s">
        <v>189</v>
      </c>
      <c r="B4" s="5" t="s">
        <v>164</v>
      </c>
      <c r="C4" s="5" t="s">
        <v>190</v>
      </c>
      <c r="D4" s="5" t="s">
        <v>191</v>
      </c>
      <c r="E4" s="5" t="s">
        <v>192</v>
      </c>
    </row>
    <row r="5" spans="1:5" x14ac:dyDescent="0.35">
      <c r="A5" s="7" t="s">
        <v>193</v>
      </c>
      <c r="B5" s="7" t="s">
        <v>194</v>
      </c>
      <c r="C5" s="15">
        <f>Parameters!$C$5*Parameters!$C$6</f>
        <v>17000</v>
      </c>
      <c r="D5" s="15" t="s">
        <v>195</v>
      </c>
      <c r="E5" s="15">
        <f>Parameters!$C$5*Parameters!$C$6</f>
        <v>17000</v>
      </c>
    </row>
    <row r="6" spans="1:5" x14ac:dyDescent="0.35">
      <c r="A6" s="7" t="s">
        <v>196</v>
      </c>
      <c r="B6" s="7"/>
      <c r="C6" s="15">
        <f>Parameters!$C$5*Parameters!$C$7</f>
        <v>170000</v>
      </c>
      <c r="D6" s="15" t="s">
        <v>197</v>
      </c>
      <c r="E6" s="15">
        <f>Parameters!$C$5*Parameters!$C$7</f>
        <v>170000</v>
      </c>
    </row>
    <row r="7" spans="1:5" x14ac:dyDescent="0.35">
      <c r="A7" s="7" t="s">
        <v>198</v>
      </c>
      <c r="B7" s="7"/>
      <c r="C7" s="15">
        <f>Parameters!$C$5*Parameters!$C$8</f>
        <v>1700000</v>
      </c>
      <c r="D7" s="15" t="s">
        <v>197</v>
      </c>
      <c r="E7" s="15">
        <f>Parameters!$C$5*Parameters!$C$8</f>
        <v>1700000</v>
      </c>
    </row>
    <row r="8" spans="1:5" x14ac:dyDescent="0.35">
      <c r="A8" s="7" t="s">
        <v>199</v>
      </c>
      <c r="B8" s="7" t="s">
        <v>200</v>
      </c>
      <c r="C8" s="15">
        <f>INDEX('§3 Case A'!B5:B47,MATCH(Parameters!C11,'§3 Case A'!A5:A47,0))</f>
        <v>2900</v>
      </c>
      <c r="D8" s="15">
        <f>'§4 Case B'!F6</f>
        <v>0.44</v>
      </c>
      <c r="E8" s="15">
        <f>Parameters!$C$32</f>
        <v>970</v>
      </c>
    </row>
    <row r="9" spans="1:5" x14ac:dyDescent="0.35">
      <c r="A9" s="7" t="s">
        <v>201</v>
      </c>
      <c r="B9" s="7"/>
      <c r="C9" s="15">
        <f>INDEX('§3 Case A'!D5:D47,MATCH(Parameters!C11,'§3 Case A'!A5:A47,0))</f>
        <v>485</v>
      </c>
      <c r="D9" s="15" t="s">
        <v>202</v>
      </c>
      <c r="E9" s="15">
        <f>Parameters!$C$33</f>
        <v>220</v>
      </c>
    </row>
    <row r="10" spans="1:5" x14ac:dyDescent="0.35">
      <c r="A10" s="7" t="s">
        <v>203</v>
      </c>
      <c r="B10" s="7"/>
      <c r="C10" s="15">
        <f>Parameters!$C$26</f>
        <v>800</v>
      </c>
      <c r="D10" s="15" t="s">
        <v>202</v>
      </c>
      <c r="E10" s="15">
        <f>Parameters!$C$34</f>
        <v>800</v>
      </c>
    </row>
    <row r="11" spans="1:5" x14ac:dyDescent="0.35">
      <c r="A11" s="7" t="s">
        <v>204</v>
      </c>
      <c r="B11" s="7" t="s">
        <v>205</v>
      </c>
      <c r="C11" s="15">
        <f>C8/Parameters!$C$5*1000000</f>
        <v>17.058823529411764</v>
      </c>
      <c r="D11" s="15">
        <f>'§4 Case B'!F6</f>
        <v>0.44</v>
      </c>
      <c r="E11" s="15">
        <f>E8/Parameters!$C$5*1000000</f>
        <v>5.7058823529411766</v>
      </c>
    </row>
    <row r="12" spans="1:5" x14ac:dyDescent="0.35">
      <c r="A12" s="7" t="s">
        <v>206</v>
      </c>
      <c r="B12" s="7" t="s">
        <v>207</v>
      </c>
      <c r="C12" s="16">
        <f>C8/C5+C9/C6+C10/C7</f>
        <v>0.17391176470588235</v>
      </c>
      <c r="D12" s="16">
        <f>'§4 Case B'!H6</f>
        <v>1.9199999999999998E-2</v>
      </c>
      <c r="E12" s="16">
        <f>E8/E5+E9/E6+E10/E7</f>
        <v>5.8823529411764705E-2</v>
      </c>
    </row>
    <row r="13" spans="1:5" x14ac:dyDescent="0.35">
      <c r="A13" s="7" t="s">
        <v>208</v>
      </c>
      <c r="B13" s="7" t="s">
        <v>209</v>
      </c>
      <c r="C13" s="15">
        <f>Parameters!$C$11*Parameters!$C$28*1000000</f>
        <v>54</v>
      </c>
      <c r="D13" s="15">
        <f>2*Parameters!$C$11*Parameters!$C$30*1000000</f>
        <v>1.2</v>
      </c>
      <c r="E13" s="15">
        <f>Parameters!$C$29*1000000</f>
        <v>13.333333333333334</v>
      </c>
    </row>
    <row r="14" spans="1:5" x14ac:dyDescent="0.35">
      <c r="A14" s="7" t="s">
        <v>210</v>
      </c>
      <c r="B14" s="7" t="s">
        <v>211</v>
      </c>
      <c r="C14" s="15">
        <f>C13+C11</f>
        <v>71.058823529411768</v>
      </c>
      <c r="D14" s="15">
        <f>D13+D11+0.2</f>
        <v>1.8399999999999999</v>
      </c>
      <c r="E14" s="15">
        <f>E13+E11</f>
        <v>19.03921568627451</v>
      </c>
    </row>
    <row r="15" spans="1:5" x14ac:dyDescent="0.35">
      <c r="A15" s="7" t="s">
        <v>212</v>
      </c>
      <c r="B15" s="7" t="s">
        <v>213</v>
      </c>
      <c r="C15" s="15">
        <f>Parameters!$C$6*1000000-C14</f>
        <v>28.941176470588232</v>
      </c>
      <c r="D15" s="15">
        <f>Parameters!$C$6*1000000-D14</f>
        <v>98.16</v>
      </c>
      <c r="E15" s="15">
        <f>Parameters!$C$6*1000000-E14</f>
        <v>80.960784313725497</v>
      </c>
    </row>
    <row r="16" spans="1:5" ht="26" x14ac:dyDescent="0.35">
      <c r="A16" s="7" t="s">
        <v>214</v>
      </c>
      <c r="B16" s="7" t="s">
        <v>215</v>
      </c>
      <c r="C16" s="15">
        <f>C13+C11+C9/Parameters!$C$5*1000000+C10/Parameters!$C$5*1000000</f>
        <v>78.617647058823536</v>
      </c>
      <c r="D16" s="15" t="s">
        <v>216</v>
      </c>
      <c r="E16" s="15">
        <f>E13+E11+E9/Parameters!$C$5*1000000+E10/Parameters!$C$5*1000000</f>
        <v>25.03921568627451</v>
      </c>
    </row>
    <row r="17" spans="1:5" x14ac:dyDescent="0.35">
      <c r="A17" s="7" t="s">
        <v>217</v>
      </c>
      <c r="B17" s="7" t="s">
        <v>218</v>
      </c>
      <c r="C17" s="15">
        <f>Parameters!$C$31*1000000</f>
        <v>3.5999999999999996</v>
      </c>
      <c r="D17" s="15">
        <v>0</v>
      </c>
      <c r="E17" s="15">
        <v>0</v>
      </c>
    </row>
    <row r="18" spans="1:5" x14ac:dyDescent="0.35">
      <c r="A18" s="7" t="s">
        <v>219</v>
      </c>
      <c r="B18" s="7" t="s">
        <v>220</v>
      </c>
      <c r="C18" s="15">
        <f>C14+C17</f>
        <v>74.658823529411762</v>
      </c>
      <c r="D18" s="15">
        <f>D14+D17</f>
        <v>1.8399999999999999</v>
      </c>
      <c r="E18" s="15">
        <f>E14+E17</f>
        <v>19.03921568627451</v>
      </c>
    </row>
    <row r="19" spans="1:5" ht="26" x14ac:dyDescent="0.35">
      <c r="A19" s="7" t="s">
        <v>221</v>
      </c>
      <c r="B19" s="7" t="s">
        <v>222</v>
      </c>
      <c r="C19" s="15" t="str">
        <f>'§3 Case A'!G52&amp;" (shared bus) / "&amp;'§3 Case A'!G53&amp;" (dual bus) / "&amp;'§3 Case A'!G54&amp;" (compute only)"</f>
        <v>12 (shared bus) / 19 (dual bus) / 37 (compute only)</v>
      </c>
      <c r="D19" s="15" t="s">
        <v>223</v>
      </c>
      <c r="E19" s="15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4"/>
  <sheetViews>
    <sheetView showGridLines="0" topLeftCell="T43" zoomScaleNormal="100" workbookViewId="0"/>
  </sheetViews>
  <sheetFormatPr baseColWidth="10" defaultColWidth="8.6328125" defaultRowHeight="14.5" x14ac:dyDescent="0.35"/>
  <cols>
    <col min="1" max="1" width="6" customWidth="1"/>
    <col min="2" max="21" width="16" customWidth="1"/>
  </cols>
  <sheetData>
    <row r="1" spans="1:21" ht="16.5" x14ac:dyDescent="0.35">
      <c r="A1" s="1" t="s">
        <v>225</v>
      </c>
    </row>
    <row r="2" spans="1:21" x14ac:dyDescent="0.35">
      <c r="A2" s="4" t="s">
        <v>226</v>
      </c>
    </row>
    <row r="4" spans="1:21" ht="39" x14ac:dyDescent="0.35">
      <c r="A4" s="5" t="s">
        <v>157</v>
      </c>
      <c r="B4" s="5" t="s">
        <v>227</v>
      </c>
      <c r="C4" s="5" t="s">
        <v>228</v>
      </c>
      <c r="D4" s="5" t="s">
        <v>229</v>
      </c>
      <c r="E4" s="5" t="s">
        <v>230</v>
      </c>
      <c r="F4" s="5" t="s">
        <v>231</v>
      </c>
      <c r="G4" s="5" t="s">
        <v>232</v>
      </c>
      <c r="H4" s="5" t="s">
        <v>233</v>
      </c>
      <c r="I4" s="5" t="s">
        <v>234</v>
      </c>
      <c r="J4" s="5" t="s">
        <v>235</v>
      </c>
      <c r="K4" s="5" t="s">
        <v>236</v>
      </c>
      <c r="L4" s="5" t="s">
        <v>237</v>
      </c>
      <c r="M4" s="5" t="s">
        <v>238</v>
      </c>
      <c r="N4" s="5" t="s">
        <v>239</v>
      </c>
      <c r="O4" s="5" t="s">
        <v>240</v>
      </c>
      <c r="P4" s="5" t="s">
        <v>241</v>
      </c>
      <c r="Q4" s="5" t="s">
        <v>242</v>
      </c>
      <c r="R4" s="5" t="s">
        <v>243</v>
      </c>
      <c r="S4" s="5" t="s">
        <v>244</v>
      </c>
      <c r="T4" s="5" t="s">
        <v>245</v>
      </c>
      <c r="U4" s="5" t="s">
        <v>246</v>
      </c>
    </row>
    <row r="5" spans="1:21" x14ac:dyDescent="0.35">
      <c r="A5" s="13">
        <v>4</v>
      </c>
      <c r="B5" s="14">
        <f>Parameters!$C$21*A5*(A5-1)+2*Parameters!$C$22*A5+Parameters!$C$23</f>
        <v>282</v>
      </c>
      <c r="C5" s="14">
        <f t="shared" ref="C5:C47" si="0">40*A5*LOG(A5,2)+10*A5+50</f>
        <v>410</v>
      </c>
      <c r="D5" s="14">
        <f>Parameters!$C$24+Parameters!$C$25*A5</f>
        <v>276</v>
      </c>
      <c r="E5" s="14">
        <f>Parameters!$C$26</f>
        <v>800</v>
      </c>
      <c r="F5" s="12">
        <f>B5/Parameters!$C$5*1000000</f>
        <v>1.6588235294117648</v>
      </c>
      <c r="G5" s="12">
        <f>D5/Parameters!$C$5*1000000</f>
        <v>1.6235294117647059</v>
      </c>
      <c r="H5" s="12">
        <f>E5/Parameters!$C$5*1000000</f>
        <v>4.7058823529411757</v>
      </c>
      <c r="I5" s="17">
        <f>2*A5*Parameters!$C$28*1000000</f>
        <v>28.799999999999997</v>
      </c>
      <c r="J5" s="17">
        <f>A5*Parameters!$C$28*1000000</f>
        <v>14.399999999999999</v>
      </c>
      <c r="K5" s="16">
        <f>B5/(Parameters!$C$5*Parameters!$C$6)+D5/(Parameters!$C$5*Parameters!$C$7)+E5/(Parameters!$C$5*Parameters!$C$8)</f>
        <v>1.8682352941176469E-2</v>
      </c>
      <c r="L5" s="16">
        <f>K5+2*A5*Parameters!$C$28/Parameters!$C$6</f>
        <v>0.30668235294117646</v>
      </c>
      <c r="M5" s="12">
        <f t="shared" ref="M5:M47" si="1">I5+F5</f>
        <v>30.458823529411763</v>
      </c>
      <c r="N5" s="12">
        <f t="shared" ref="N5:N47" si="2">J5+F5</f>
        <v>16.058823529411764</v>
      </c>
      <c r="O5" s="12">
        <f t="shared" ref="O5:O47" si="3">J5+F5+G5+H5</f>
        <v>22.388235294117649</v>
      </c>
      <c r="P5" s="12">
        <f>J5+F5+Parameters!$C$31*1000000</f>
        <v>19.658823529411762</v>
      </c>
      <c r="Q5" s="12">
        <f>Parameters!$C$6*1000000-N5</f>
        <v>83.941176470588232</v>
      </c>
      <c r="R5" s="7">
        <f>IF(M5&lt;=Parameters!$C$6*1000000,1,0)</f>
        <v>1</v>
      </c>
      <c r="S5" s="7">
        <f>IF(N5&lt;=Parameters!$C$6*1000000,1,0)</f>
        <v>1</v>
      </c>
      <c r="T5" s="7">
        <f>IF(K5&lt;=Parameters!$C$12,1,0)</f>
        <v>1</v>
      </c>
      <c r="U5" s="16">
        <f>C5/(Parameters!$C$5*Parameters!$C$6)+D5/(Parameters!$C$5*Parameters!$C$7)+E5/(Parameters!$C$5*Parameters!$C$8)</f>
        <v>2.6211764705882351E-2</v>
      </c>
    </row>
    <row r="6" spans="1:21" x14ac:dyDescent="0.35">
      <c r="A6" s="13">
        <v>5</v>
      </c>
      <c r="B6" s="14">
        <f>Parameters!$C$21*A6*(A6-1)+2*Parameters!$C$22*A6+Parameters!$C$23</f>
        <v>400</v>
      </c>
      <c r="C6" s="14">
        <f t="shared" si="0"/>
        <v>564.3856189774724</v>
      </c>
      <c r="D6" s="14">
        <f>Parameters!$C$24+Parameters!$C$25*A6</f>
        <v>295</v>
      </c>
      <c r="E6" s="14">
        <f>Parameters!$C$26</f>
        <v>800</v>
      </c>
      <c r="F6" s="12">
        <f>B6/Parameters!$C$5*1000000</f>
        <v>2.3529411764705879</v>
      </c>
      <c r="G6" s="12">
        <f>D6/Parameters!$C$5*1000000</f>
        <v>1.7352941176470589</v>
      </c>
      <c r="H6" s="12">
        <f>E6/Parameters!$C$5*1000000</f>
        <v>4.7058823529411757</v>
      </c>
      <c r="I6" s="17">
        <f>2*A6*Parameters!$C$28*1000000</f>
        <v>36</v>
      </c>
      <c r="J6" s="17">
        <f>A6*Parameters!$C$28*1000000</f>
        <v>18</v>
      </c>
      <c r="K6" s="16">
        <f>B6/(Parameters!$C$5*Parameters!$C$6)+D6/(Parameters!$C$5*Parameters!$C$7)+E6/(Parameters!$C$5*Parameters!$C$8)</f>
        <v>2.5735294117647058E-2</v>
      </c>
      <c r="L6" s="16">
        <f>K6+2*A6*Parameters!$C$28/Parameters!$C$6</f>
        <v>0.38573529411764707</v>
      </c>
      <c r="M6" s="12">
        <f t="shared" si="1"/>
        <v>38.352941176470587</v>
      </c>
      <c r="N6" s="12">
        <f t="shared" si="2"/>
        <v>20.352941176470587</v>
      </c>
      <c r="O6" s="12">
        <f t="shared" si="3"/>
        <v>26.794117647058819</v>
      </c>
      <c r="P6" s="12">
        <f>J6+F6+Parameters!$C$31*1000000</f>
        <v>23.952941176470588</v>
      </c>
      <c r="Q6" s="12">
        <f>Parameters!$C$6*1000000-N6</f>
        <v>79.64705882352942</v>
      </c>
      <c r="R6" s="7">
        <f>IF(M6&lt;=Parameters!$C$6*1000000,1,0)</f>
        <v>1</v>
      </c>
      <c r="S6" s="7">
        <f>IF(N6&lt;=Parameters!$C$6*1000000,1,0)</f>
        <v>1</v>
      </c>
      <c r="T6" s="7">
        <f>IF(K6&lt;=Parameters!$C$12,1,0)</f>
        <v>1</v>
      </c>
      <c r="U6" s="16">
        <f>C6/(Parameters!$C$5*Parameters!$C$6)+D6/(Parameters!$C$5*Parameters!$C$7)+E6/(Parameters!$C$5*Parameters!$C$8)</f>
        <v>3.5405036410439551E-2</v>
      </c>
    </row>
    <row r="7" spans="1:21" x14ac:dyDescent="0.35">
      <c r="A7" s="13">
        <v>6</v>
      </c>
      <c r="B7" s="14">
        <f>Parameters!$C$21*A7*(A7-1)+2*Parameters!$C$22*A7+Parameters!$C$23</f>
        <v>542</v>
      </c>
      <c r="C7" s="14">
        <f t="shared" si="0"/>
        <v>730.39100017307749</v>
      </c>
      <c r="D7" s="14">
        <f>Parameters!$C$24+Parameters!$C$25*A7</f>
        <v>314</v>
      </c>
      <c r="E7" s="14">
        <f>Parameters!$C$26</f>
        <v>800</v>
      </c>
      <c r="F7" s="12">
        <f>B7/Parameters!$C$5*1000000</f>
        <v>3.1882352941176473</v>
      </c>
      <c r="G7" s="12">
        <f>D7/Parameters!$C$5*1000000</f>
        <v>1.8470588235294119</v>
      </c>
      <c r="H7" s="12">
        <f>E7/Parameters!$C$5*1000000</f>
        <v>4.7058823529411757</v>
      </c>
      <c r="I7" s="17">
        <f>2*A7*Parameters!$C$28*1000000</f>
        <v>43.2</v>
      </c>
      <c r="J7" s="17">
        <f>A7*Parameters!$C$28*1000000</f>
        <v>21.6</v>
      </c>
      <c r="K7" s="16">
        <f>B7/(Parameters!$C$5*Parameters!$C$6)+D7/(Parameters!$C$5*Parameters!$C$7)+E7/(Parameters!$C$5*Parameters!$C$8)</f>
        <v>3.4200000000000001E-2</v>
      </c>
      <c r="L7" s="16">
        <f>K7+2*A7*Parameters!$C$28/Parameters!$C$6</f>
        <v>0.4662</v>
      </c>
      <c r="M7" s="12">
        <f t="shared" si="1"/>
        <v>46.388235294117649</v>
      </c>
      <c r="N7" s="12">
        <f t="shared" si="2"/>
        <v>24.788235294117648</v>
      </c>
      <c r="O7" s="12">
        <f t="shared" si="3"/>
        <v>31.341176470588238</v>
      </c>
      <c r="P7" s="12">
        <f>J7+F7+Parameters!$C$31*1000000</f>
        <v>28.388235294117649</v>
      </c>
      <c r="Q7" s="12">
        <f>Parameters!$C$6*1000000-N7</f>
        <v>75.211764705882359</v>
      </c>
      <c r="R7" s="7">
        <f>IF(M7&lt;=Parameters!$C$6*1000000,1,0)</f>
        <v>1</v>
      </c>
      <c r="S7" s="7">
        <f>IF(N7&lt;=Parameters!$C$6*1000000,1,0)</f>
        <v>1</v>
      </c>
      <c r="T7" s="7">
        <f>IF(K7&lt;=Parameters!$C$12,1,0)</f>
        <v>1</v>
      </c>
      <c r="U7" s="16">
        <f>C7/(Parameters!$C$5*Parameters!$C$6)+D7/(Parameters!$C$5*Parameters!$C$7)+E7/(Parameters!$C$5*Parameters!$C$8)</f>
        <v>4.5281823539592793E-2</v>
      </c>
    </row>
    <row r="8" spans="1:21" x14ac:dyDescent="0.35">
      <c r="A8" s="13">
        <v>7</v>
      </c>
      <c r="B8" s="14">
        <f>Parameters!$C$21*A8*(A8-1)+2*Parameters!$C$22*A8+Parameters!$C$23</f>
        <v>708</v>
      </c>
      <c r="C8" s="14">
        <f t="shared" si="0"/>
        <v>906.05937817612914</v>
      </c>
      <c r="D8" s="14">
        <f>Parameters!$C$24+Parameters!$C$25*A8</f>
        <v>333</v>
      </c>
      <c r="E8" s="14">
        <f>Parameters!$C$26</f>
        <v>800</v>
      </c>
      <c r="F8" s="12">
        <f>B8/Parameters!$C$5*1000000</f>
        <v>4.1647058823529406</v>
      </c>
      <c r="G8" s="12">
        <f>D8/Parameters!$C$5*1000000</f>
        <v>1.9588235294117646</v>
      </c>
      <c r="H8" s="12">
        <f>E8/Parameters!$C$5*1000000</f>
        <v>4.7058823529411757</v>
      </c>
      <c r="I8" s="17">
        <f>2*A8*Parameters!$C$28*1000000</f>
        <v>50.4</v>
      </c>
      <c r="J8" s="17">
        <f>A8*Parameters!$C$28*1000000</f>
        <v>25.2</v>
      </c>
      <c r="K8" s="16">
        <f>B8/(Parameters!$C$5*Parameters!$C$6)+D8/(Parameters!$C$5*Parameters!$C$7)+E8/(Parameters!$C$5*Parameters!$C$8)</f>
        <v>4.4076470588235293E-2</v>
      </c>
      <c r="L8" s="16">
        <f>K8+2*A8*Parameters!$C$28/Parameters!$C$6</f>
        <v>0.54807647058823528</v>
      </c>
      <c r="M8" s="12">
        <f t="shared" si="1"/>
        <v>54.564705882352939</v>
      </c>
      <c r="N8" s="12">
        <f t="shared" si="2"/>
        <v>29.36470588235294</v>
      </c>
      <c r="O8" s="12">
        <f t="shared" si="3"/>
        <v>36.029411764705877</v>
      </c>
      <c r="P8" s="12">
        <f>J8+F8+Parameters!$C$31*1000000</f>
        <v>32.964705882352938</v>
      </c>
      <c r="Q8" s="12">
        <f>Parameters!$C$6*1000000-N8</f>
        <v>70.635294117647064</v>
      </c>
      <c r="R8" s="7">
        <f>IF(M8&lt;=Parameters!$C$6*1000000,1,0)</f>
        <v>1</v>
      </c>
      <c r="S8" s="7">
        <f>IF(N8&lt;=Parameters!$C$6*1000000,1,0)</f>
        <v>1</v>
      </c>
      <c r="T8" s="7">
        <f>IF(K8&lt;=Parameters!$C$12,1,0)</f>
        <v>1</v>
      </c>
      <c r="U8" s="16">
        <f>C8/(Parameters!$C$5*Parameters!$C$6)+D8/(Parameters!$C$5*Parameters!$C$7)+E8/(Parameters!$C$5*Parameters!$C$8)</f>
        <v>5.5727022245654657E-2</v>
      </c>
    </row>
    <row r="9" spans="1:21" x14ac:dyDescent="0.35">
      <c r="A9" s="13">
        <v>8</v>
      </c>
      <c r="B9" s="14">
        <f>Parameters!$C$21*A9*(A9-1)+2*Parameters!$C$22*A9+Parameters!$C$23</f>
        <v>898</v>
      </c>
      <c r="C9" s="14">
        <f t="shared" si="0"/>
        <v>1090</v>
      </c>
      <c r="D9" s="14">
        <f>Parameters!$C$24+Parameters!$C$25*A9</f>
        <v>352</v>
      </c>
      <c r="E9" s="14">
        <f>Parameters!$C$26</f>
        <v>800</v>
      </c>
      <c r="F9" s="12">
        <f>B9/Parameters!$C$5*1000000</f>
        <v>5.2823529411764705</v>
      </c>
      <c r="G9" s="12">
        <f>D9/Parameters!$C$5*1000000</f>
        <v>2.0705882352941178</v>
      </c>
      <c r="H9" s="12">
        <f>E9/Parameters!$C$5*1000000</f>
        <v>4.7058823529411757</v>
      </c>
      <c r="I9" s="17">
        <f>2*A9*Parameters!$C$28*1000000</f>
        <v>57.599999999999994</v>
      </c>
      <c r="J9" s="17">
        <f>A9*Parameters!$C$28*1000000</f>
        <v>28.799999999999997</v>
      </c>
      <c r="K9" s="16">
        <f>B9/(Parameters!$C$5*Parameters!$C$6)+D9/(Parameters!$C$5*Parameters!$C$7)+E9/(Parameters!$C$5*Parameters!$C$8)</f>
        <v>5.5364705882352941E-2</v>
      </c>
      <c r="L9" s="16">
        <f>K9+2*A9*Parameters!$C$28/Parameters!$C$6</f>
        <v>0.63136470588235294</v>
      </c>
      <c r="M9" s="12">
        <f t="shared" si="1"/>
        <v>62.882352941176464</v>
      </c>
      <c r="N9" s="12">
        <f t="shared" si="2"/>
        <v>34.082352941176467</v>
      </c>
      <c r="O9" s="12">
        <f t="shared" si="3"/>
        <v>40.858823529411758</v>
      </c>
      <c r="P9" s="12">
        <f>J9+F9+Parameters!$C$31*1000000</f>
        <v>37.682352941176468</v>
      </c>
      <c r="Q9" s="12">
        <f>Parameters!$C$6*1000000-N9</f>
        <v>65.917647058823533</v>
      </c>
      <c r="R9" s="7">
        <f>IF(M9&lt;=Parameters!$C$6*1000000,1,0)</f>
        <v>1</v>
      </c>
      <c r="S9" s="7">
        <f>IF(N9&lt;=Parameters!$C$6*1000000,1,0)</f>
        <v>1</v>
      </c>
      <c r="T9" s="7">
        <f>IF(K9&lt;=Parameters!$C$12,1,0)</f>
        <v>1</v>
      </c>
      <c r="U9" s="16">
        <f>C9/(Parameters!$C$5*Parameters!$C$6)+D9/(Parameters!$C$5*Parameters!$C$7)+E9/(Parameters!$C$5*Parameters!$C$8)</f>
        <v>6.6658823529411756E-2</v>
      </c>
    </row>
    <row r="10" spans="1:21" x14ac:dyDescent="0.35">
      <c r="A10" s="13">
        <v>9</v>
      </c>
      <c r="B10" s="14">
        <f>Parameters!$C$21*A10*(A10-1)+2*Parameters!$C$22*A10+Parameters!$C$23</f>
        <v>1112</v>
      </c>
      <c r="C10" s="14">
        <f t="shared" si="0"/>
        <v>1281.1730005192326</v>
      </c>
      <c r="D10" s="14">
        <f>Parameters!$C$24+Parameters!$C$25*A10</f>
        <v>371</v>
      </c>
      <c r="E10" s="14">
        <f>Parameters!$C$26</f>
        <v>800</v>
      </c>
      <c r="F10" s="12">
        <f>B10/Parameters!$C$5*1000000</f>
        <v>6.5411764705882351</v>
      </c>
      <c r="G10" s="12">
        <f>D10/Parameters!$C$5*1000000</f>
        <v>2.1823529411764708</v>
      </c>
      <c r="H10" s="12">
        <f>E10/Parameters!$C$5*1000000</f>
        <v>4.7058823529411757</v>
      </c>
      <c r="I10" s="17">
        <f>2*A10*Parameters!$C$28*1000000</f>
        <v>64.8</v>
      </c>
      <c r="J10" s="17">
        <f>A10*Parameters!$C$28*1000000</f>
        <v>32.4</v>
      </c>
      <c r="K10" s="16">
        <f>B10/(Parameters!$C$5*Parameters!$C$6)+D10/(Parameters!$C$5*Parameters!$C$7)+E10/(Parameters!$C$5*Parameters!$C$8)</f>
        <v>6.806470588235293E-2</v>
      </c>
      <c r="L10" s="16">
        <f>K10+2*A10*Parameters!$C$28/Parameters!$C$6</f>
        <v>0.71606470588235294</v>
      </c>
      <c r="M10" s="12">
        <f t="shared" si="1"/>
        <v>71.341176470588238</v>
      </c>
      <c r="N10" s="12">
        <f t="shared" si="2"/>
        <v>38.941176470588232</v>
      </c>
      <c r="O10" s="12">
        <f t="shared" si="3"/>
        <v>45.829411764705874</v>
      </c>
      <c r="P10" s="12">
        <f>J10+F10+Parameters!$C$31*1000000</f>
        <v>42.541176470588233</v>
      </c>
      <c r="Q10" s="12">
        <f>Parameters!$C$6*1000000-N10</f>
        <v>61.058823529411768</v>
      </c>
      <c r="R10" s="7">
        <f>IF(M10&lt;=Parameters!$C$6*1000000,1,0)</f>
        <v>1</v>
      </c>
      <c r="S10" s="7">
        <f>IF(N10&lt;=Parameters!$C$6*1000000,1,0)</f>
        <v>1</v>
      </c>
      <c r="T10" s="7">
        <f>IF(K10&lt;=Parameters!$C$12,1,0)</f>
        <v>1</v>
      </c>
      <c r="U10" s="16">
        <f>C10/(Parameters!$C$5*Parameters!$C$6)+D10/(Parameters!$C$5*Parameters!$C$7)+E10/(Parameters!$C$5*Parameters!$C$8)</f>
        <v>7.8016058854072493E-2</v>
      </c>
    </row>
    <row r="11" spans="1:21" x14ac:dyDescent="0.35">
      <c r="A11" s="13">
        <v>10</v>
      </c>
      <c r="B11" s="14">
        <f>Parameters!$C$21*A11*(A11-1)+2*Parameters!$C$22*A11+Parameters!$C$23</f>
        <v>1350</v>
      </c>
      <c r="C11" s="14">
        <f t="shared" si="0"/>
        <v>1478.771237954945</v>
      </c>
      <c r="D11" s="14">
        <f>Parameters!$C$24+Parameters!$C$25*A11</f>
        <v>390</v>
      </c>
      <c r="E11" s="14">
        <f>Parameters!$C$26</f>
        <v>800</v>
      </c>
      <c r="F11" s="12">
        <f>B11/Parameters!$C$5*1000000</f>
        <v>7.9411764705882346</v>
      </c>
      <c r="G11" s="12">
        <f>D11/Parameters!$C$5*1000000</f>
        <v>2.2941176470588234</v>
      </c>
      <c r="H11" s="12">
        <f>E11/Parameters!$C$5*1000000</f>
        <v>4.7058823529411757</v>
      </c>
      <c r="I11" s="17">
        <f>2*A11*Parameters!$C$28*1000000</f>
        <v>72</v>
      </c>
      <c r="J11" s="17">
        <f>A11*Parameters!$C$28*1000000</f>
        <v>36</v>
      </c>
      <c r="K11" s="16">
        <f>B11/(Parameters!$C$5*Parameters!$C$6)+D11/(Parameters!$C$5*Parameters!$C$7)+E11/(Parameters!$C$5*Parameters!$C$8)</f>
        <v>8.2176470588235281E-2</v>
      </c>
      <c r="L11" s="16">
        <f>K11+2*A11*Parameters!$C$28/Parameters!$C$6</f>
        <v>0.80217647058823527</v>
      </c>
      <c r="M11" s="12">
        <f t="shared" si="1"/>
        <v>79.941176470588232</v>
      </c>
      <c r="N11" s="12">
        <f t="shared" si="2"/>
        <v>43.941176470588232</v>
      </c>
      <c r="O11" s="12">
        <f t="shared" si="3"/>
        <v>50.941176470588232</v>
      </c>
      <c r="P11" s="12">
        <f>J11+F11+Parameters!$C$31*1000000</f>
        <v>47.541176470588233</v>
      </c>
      <c r="Q11" s="12">
        <f>Parameters!$C$6*1000000-N11</f>
        <v>56.058823529411768</v>
      </c>
      <c r="R11" s="7">
        <f>IF(M11&lt;=Parameters!$C$6*1000000,1,0)</f>
        <v>1</v>
      </c>
      <c r="S11" s="7">
        <f>IF(N11&lt;=Parameters!$C$6*1000000,1,0)</f>
        <v>1</v>
      </c>
      <c r="T11" s="7">
        <f>IF(K11&lt;=Parameters!$C$12,1,0)</f>
        <v>1</v>
      </c>
      <c r="U11" s="16">
        <f>C11/(Parameters!$C$5*Parameters!$C$6)+D11/(Parameters!$C$5*Parameters!$C$7)+E11/(Parameters!$C$5*Parameters!$C$8)</f>
        <v>8.9751249291467342E-2</v>
      </c>
    </row>
    <row r="12" spans="1:21" x14ac:dyDescent="0.35">
      <c r="A12" s="13">
        <v>11</v>
      </c>
      <c r="B12" s="14">
        <f>Parameters!$C$21*A12*(A12-1)+2*Parameters!$C$22*A12+Parameters!$C$23</f>
        <v>1612</v>
      </c>
      <c r="C12" s="14">
        <f t="shared" si="0"/>
        <v>1682.1499122004111</v>
      </c>
      <c r="D12" s="14">
        <f>Parameters!$C$24+Parameters!$C$25*A12</f>
        <v>409</v>
      </c>
      <c r="E12" s="14">
        <f>Parameters!$C$26</f>
        <v>800</v>
      </c>
      <c r="F12" s="12">
        <f>B12/Parameters!$C$5*1000000</f>
        <v>9.4823529411764707</v>
      </c>
      <c r="G12" s="12">
        <f>D12/Parameters!$C$5*1000000</f>
        <v>2.4058823529411764</v>
      </c>
      <c r="H12" s="12">
        <f>E12/Parameters!$C$5*1000000</f>
        <v>4.7058823529411757</v>
      </c>
      <c r="I12" s="17">
        <f>2*A12*Parameters!$C$28*1000000</f>
        <v>79.2</v>
      </c>
      <c r="J12" s="17">
        <f>A12*Parameters!$C$28*1000000</f>
        <v>39.6</v>
      </c>
      <c r="K12" s="16">
        <f>B12/(Parameters!$C$5*Parameters!$C$6)+D12/(Parameters!$C$5*Parameters!$C$7)+E12/(Parameters!$C$5*Parameters!$C$8)</f>
        <v>9.7699999999999995E-2</v>
      </c>
      <c r="L12" s="16">
        <f>K12+2*A12*Parameters!$C$28/Parameters!$C$6</f>
        <v>0.88969999999999994</v>
      </c>
      <c r="M12" s="12">
        <f t="shared" si="1"/>
        <v>88.682352941176475</v>
      </c>
      <c r="N12" s="12">
        <f t="shared" si="2"/>
        <v>49.082352941176474</v>
      </c>
      <c r="O12" s="12">
        <f t="shared" si="3"/>
        <v>56.194117647058825</v>
      </c>
      <c r="P12" s="12">
        <f>J12+F12+Parameters!$C$31*1000000</f>
        <v>52.682352941176475</v>
      </c>
      <c r="Q12" s="12">
        <f>Parameters!$C$6*1000000-N12</f>
        <v>50.917647058823526</v>
      </c>
      <c r="R12" s="7">
        <f>IF(M12&lt;=Parameters!$C$6*1000000,1,0)</f>
        <v>1</v>
      </c>
      <c r="S12" s="7">
        <f>IF(N12&lt;=Parameters!$C$6*1000000,1,0)</f>
        <v>1</v>
      </c>
      <c r="T12" s="7">
        <f>IF(K12&lt;=Parameters!$C$12,1,0)</f>
        <v>1</v>
      </c>
      <c r="U12" s="16">
        <f>C12/(Parameters!$C$5*Parameters!$C$6)+D12/(Parameters!$C$5*Parameters!$C$7)+E12/(Parameters!$C$5*Parameters!$C$8)</f>
        <v>0.10182646542355359</v>
      </c>
    </row>
    <row r="13" spans="1:21" x14ac:dyDescent="0.35">
      <c r="A13" s="13">
        <v>12</v>
      </c>
      <c r="B13" s="14">
        <f>Parameters!$C$21*A13*(A13-1)+2*Parameters!$C$22*A13+Parameters!$C$23</f>
        <v>1898</v>
      </c>
      <c r="C13" s="14">
        <f t="shared" si="0"/>
        <v>1890.7820003461552</v>
      </c>
      <c r="D13" s="14">
        <f>Parameters!$C$24+Parameters!$C$25*A13</f>
        <v>428</v>
      </c>
      <c r="E13" s="14">
        <f>Parameters!$C$26</f>
        <v>800</v>
      </c>
      <c r="F13" s="12">
        <f>B13/Parameters!$C$5*1000000</f>
        <v>11.164705882352941</v>
      </c>
      <c r="G13" s="12">
        <f>D13/Parameters!$C$5*1000000</f>
        <v>2.5176470588235293</v>
      </c>
      <c r="H13" s="12">
        <f>E13/Parameters!$C$5*1000000</f>
        <v>4.7058823529411757</v>
      </c>
      <c r="I13" s="17">
        <f>2*A13*Parameters!$C$28*1000000</f>
        <v>86.4</v>
      </c>
      <c r="J13" s="17">
        <f>A13*Parameters!$C$28*1000000</f>
        <v>43.2</v>
      </c>
      <c r="K13" s="16">
        <f>B13/(Parameters!$C$5*Parameters!$C$6)+D13/(Parameters!$C$5*Parameters!$C$7)+E13/(Parameters!$C$5*Parameters!$C$8)</f>
        <v>0.11463529411764706</v>
      </c>
      <c r="L13" s="16">
        <f>K13+2*A13*Parameters!$C$28/Parameters!$C$6</f>
        <v>0.97863529411764705</v>
      </c>
      <c r="M13" s="12">
        <f t="shared" si="1"/>
        <v>97.564705882352939</v>
      </c>
      <c r="N13" s="12">
        <f t="shared" si="2"/>
        <v>54.364705882352943</v>
      </c>
      <c r="O13" s="12">
        <f t="shared" si="3"/>
        <v>61.588235294117645</v>
      </c>
      <c r="P13" s="12">
        <f>J13+F13+Parameters!$C$31*1000000</f>
        <v>57.964705882352945</v>
      </c>
      <c r="Q13" s="12">
        <f>Parameters!$C$6*1000000-N13</f>
        <v>45.635294117647057</v>
      </c>
      <c r="R13" s="7">
        <f>IF(M13&lt;=Parameters!$C$6*1000000,1,0)</f>
        <v>1</v>
      </c>
      <c r="S13" s="7">
        <f>IF(N13&lt;=Parameters!$C$6*1000000,1,0)</f>
        <v>1</v>
      </c>
      <c r="T13" s="7">
        <f>IF(K13&lt;=Parameters!$C$12,1,0)</f>
        <v>1</v>
      </c>
      <c r="U13" s="16">
        <f>C13/(Parameters!$C$5*Parameters!$C$6)+D13/(Parameters!$C$5*Parameters!$C$7)+E13/(Parameters!$C$5*Parameters!$C$8)</f>
        <v>0.11421070590271501</v>
      </c>
    </row>
    <row r="14" spans="1:21" x14ac:dyDescent="0.35">
      <c r="A14" s="13">
        <v>13</v>
      </c>
      <c r="B14" s="14">
        <f>Parameters!$C$21*A14*(A14-1)+2*Parameters!$C$22*A14+Parameters!$C$23</f>
        <v>2208</v>
      </c>
      <c r="C14" s="14">
        <f t="shared" si="0"/>
        <v>2104.228653433368</v>
      </c>
      <c r="D14" s="14">
        <f>Parameters!$C$24+Parameters!$C$25*A14</f>
        <v>447</v>
      </c>
      <c r="E14" s="14">
        <f>Parameters!$C$26</f>
        <v>800</v>
      </c>
      <c r="F14" s="12">
        <f>B14/Parameters!$C$5*1000000</f>
        <v>12.988235294117647</v>
      </c>
      <c r="G14" s="12">
        <f>D14/Parameters!$C$5*1000000</f>
        <v>2.6294117647058823</v>
      </c>
      <c r="H14" s="12">
        <f>E14/Parameters!$C$5*1000000</f>
        <v>4.7058823529411757</v>
      </c>
      <c r="I14" s="17">
        <f>2*A14*Parameters!$C$28*1000000</f>
        <v>93.6</v>
      </c>
      <c r="J14" s="17">
        <f>A14*Parameters!$C$28*1000000</f>
        <v>46.8</v>
      </c>
      <c r="K14" s="16">
        <f>B14/(Parameters!$C$5*Parameters!$C$6)+D14/(Parameters!$C$5*Parameters!$C$7)+E14/(Parameters!$C$5*Parameters!$C$8)</f>
        <v>0.13298235294117647</v>
      </c>
      <c r="L14" s="16">
        <f>K14+2*A14*Parameters!$C$28/Parameters!$C$6</f>
        <v>1.0689823529411764</v>
      </c>
      <c r="M14" s="12">
        <f t="shared" si="1"/>
        <v>106.58823529411764</v>
      </c>
      <c r="N14" s="12">
        <f t="shared" si="2"/>
        <v>59.788235294117641</v>
      </c>
      <c r="O14" s="12">
        <f t="shared" si="3"/>
        <v>67.123529411764707</v>
      </c>
      <c r="P14" s="12">
        <f>J14+F14+Parameters!$C$31*1000000</f>
        <v>63.388235294117642</v>
      </c>
      <c r="Q14" s="12">
        <f>Parameters!$C$6*1000000-N14</f>
        <v>40.211764705882359</v>
      </c>
      <c r="R14" s="7">
        <f>IF(M14&lt;=Parameters!$C$6*1000000,1,0)</f>
        <v>0</v>
      </c>
      <c r="S14" s="7">
        <f>IF(N14&lt;=Parameters!$C$6*1000000,1,0)</f>
        <v>1</v>
      </c>
      <c r="T14" s="7">
        <f>IF(K14&lt;=Parameters!$C$12,1,0)</f>
        <v>1</v>
      </c>
      <c r="U14" s="16">
        <f>C14/(Parameters!$C$5*Parameters!$C$6)+D14/(Parameters!$C$5*Parameters!$C$7)+E14/(Parameters!$C$5*Parameters!$C$8)</f>
        <v>0.12687815608431577</v>
      </c>
    </row>
    <row r="15" spans="1:21" x14ac:dyDescent="0.35">
      <c r="A15" s="13">
        <v>14</v>
      </c>
      <c r="B15" s="14">
        <f>Parameters!$C$21*A15*(A15-1)+2*Parameters!$C$22*A15+Parameters!$C$23</f>
        <v>2542</v>
      </c>
      <c r="C15" s="14">
        <f t="shared" si="0"/>
        <v>2322.1187563522581</v>
      </c>
      <c r="D15" s="14">
        <f>Parameters!$C$24+Parameters!$C$25*A15</f>
        <v>466</v>
      </c>
      <c r="E15" s="14">
        <f>Parameters!$C$26</f>
        <v>800</v>
      </c>
      <c r="F15" s="12">
        <f>B15/Parameters!$C$5*1000000</f>
        <v>14.952941176470588</v>
      </c>
      <c r="G15" s="12">
        <f>D15/Parameters!$C$5*1000000</f>
        <v>2.7411764705882353</v>
      </c>
      <c r="H15" s="12">
        <f>E15/Parameters!$C$5*1000000</f>
        <v>4.7058823529411757</v>
      </c>
      <c r="I15" s="17">
        <f>2*A15*Parameters!$C$28*1000000</f>
        <v>100.8</v>
      </c>
      <c r="J15" s="17">
        <f>A15*Parameters!$C$28*1000000</f>
        <v>50.4</v>
      </c>
      <c r="K15" s="16">
        <f>B15/(Parameters!$C$5*Parameters!$C$6)+D15/(Parameters!$C$5*Parameters!$C$7)+E15/(Parameters!$C$5*Parameters!$C$8)</f>
        <v>0.15274117647058824</v>
      </c>
      <c r="L15" s="16">
        <f>K15+2*A15*Parameters!$C$28/Parameters!$C$6</f>
        <v>1.1607411764705882</v>
      </c>
      <c r="M15" s="12">
        <f t="shared" si="1"/>
        <v>115.75294117647059</v>
      </c>
      <c r="N15" s="12">
        <f t="shared" si="2"/>
        <v>65.35294117647058</v>
      </c>
      <c r="O15" s="12">
        <f t="shared" si="3"/>
        <v>72.799999999999983</v>
      </c>
      <c r="P15" s="12">
        <f>J15+F15+Parameters!$C$31*1000000</f>
        <v>68.952941176470574</v>
      </c>
      <c r="Q15" s="12">
        <f>Parameters!$C$6*1000000-N15</f>
        <v>34.64705882352942</v>
      </c>
      <c r="R15" s="7">
        <f>IF(M15&lt;=Parameters!$C$6*1000000,1,0)</f>
        <v>0</v>
      </c>
      <c r="S15" s="7">
        <f>IF(N15&lt;=Parameters!$C$6*1000000,1,0)</f>
        <v>1</v>
      </c>
      <c r="T15" s="7">
        <f>IF(K15&lt;=Parameters!$C$12,1,0)</f>
        <v>1</v>
      </c>
      <c r="U15" s="16">
        <f>C15/(Parameters!$C$5*Parameters!$C$6)+D15/(Parameters!$C$5*Parameters!$C$7)+E15/(Parameters!$C$5*Parameters!$C$8)</f>
        <v>0.13980698566777988</v>
      </c>
    </row>
    <row r="16" spans="1:21" x14ac:dyDescent="0.35">
      <c r="A16" s="13">
        <v>15</v>
      </c>
      <c r="B16" s="14">
        <f>Parameters!$C$21*A16*(A16-1)+2*Parameters!$C$22*A16+Parameters!$C$23</f>
        <v>2900</v>
      </c>
      <c r="C16" s="14">
        <f t="shared" si="0"/>
        <v>2544.1343573651111</v>
      </c>
      <c r="D16" s="14">
        <f>Parameters!$C$24+Parameters!$C$25*A16</f>
        <v>485</v>
      </c>
      <c r="E16" s="14">
        <f>Parameters!$C$26</f>
        <v>800</v>
      </c>
      <c r="F16" s="12">
        <f>B16/Parameters!$C$5*1000000</f>
        <v>17.058823529411764</v>
      </c>
      <c r="G16" s="12">
        <f>D16/Parameters!$C$5*1000000</f>
        <v>2.8529411764705883</v>
      </c>
      <c r="H16" s="12">
        <f>E16/Parameters!$C$5*1000000</f>
        <v>4.7058823529411757</v>
      </c>
      <c r="I16" s="17">
        <f>2*A16*Parameters!$C$28*1000000</f>
        <v>108</v>
      </c>
      <c r="J16" s="17">
        <f>A16*Parameters!$C$28*1000000</f>
        <v>54</v>
      </c>
      <c r="K16" s="16">
        <f>B16/(Parameters!$C$5*Parameters!$C$6)+D16/(Parameters!$C$5*Parameters!$C$7)+E16/(Parameters!$C$5*Parameters!$C$8)</f>
        <v>0.17391176470588235</v>
      </c>
      <c r="L16" s="16">
        <f>K16+2*A16*Parameters!$C$28/Parameters!$C$6</f>
        <v>1.2539117647058822</v>
      </c>
      <c r="M16" s="12">
        <f t="shared" si="1"/>
        <v>125.05882352941177</v>
      </c>
      <c r="N16" s="12">
        <f t="shared" si="2"/>
        <v>71.058823529411768</v>
      </c>
      <c r="O16" s="12">
        <f t="shared" si="3"/>
        <v>78.617647058823536</v>
      </c>
      <c r="P16" s="12">
        <f>J16+F16+Parameters!$C$31*1000000</f>
        <v>74.658823529411762</v>
      </c>
      <c r="Q16" s="12">
        <f>Parameters!$C$6*1000000-N16</f>
        <v>28.941176470588232</v>
      </c>
      <c r="R16" s="7">
        <f>IF(M16&lt;=Parameters!$C$6*1000000,1,0)</f>
        <v>0</v>
      </c>
      <c r="S16" s="7">
        <f>IF(N16&lt;=Parameters!$C$6*1000000,1,0)</f>
        <v>1</v>
      </c>
      <c r="T16" s="7">
        <f>IF(K16&lt;=Parameters!$C$12,1,0)</f>
        <v>1</v>
      </c>
      <c r="U16" s="16">
        <f>C16/(Parameters!$C$5*Parameters!$C$6)+D16/(Parameters!$C$5*Parameters!$C$7)+E16/(Parameters!$C$5*Parameters!$C$8)</f>
        <v>0.15297849160971241</v>
      </c>
    </row>
    <row r="17" spans="1:21" x14ac:dyDescent="0.35">
      <c r="A17" s="13">
        <v>16</v>
      </c>
      <c r="B17" s="14">
        <f>Parameters!$C$21*A17*(A17-1)+2*Parameters!$C$22*A17+Parameters!$C$23</f>
        <v>3282</v>
      </c>
      <c r="C17" s="14">
        <f t="shared" si="0"/>
        <v>2770</v>
      </c>
      <c r="D17" s="14">
        <f>Parameters!$C$24+Parameters!$C$25*A17</f>
        <v>504</v>
      </c>
      <c r="E17" s="14">
        <f>Parameters!$C$26</f>
        <v>800</v>
      </c>
      <c r="F17" s="12">
        <f>B17/Parameters!$C$5*1000000</f>
        <v>19.305882352941175</v>
      </c>
      <c r="G17" s="12">
        <f>D17/Parameters!$C$5*1000000</f>
        <v>2.9647058823529409</v>
      </c>
      <c r="H17" s="12">
        <f>E17/Parameters!$C$5*1000000</f>
        <v>4.7058823529411757</v>
      </c>
      <c r="I17" s="17">
        <f>2*A17*Parameters!$C$28*1000000</f>
        <v>115.19999999999999</v>
      </c>
      <c r="J17" s="17">
        <f>A17*Parameters!$C$28*1000000</f>
        <v>57.599999999999994</v>
      </c>
      <c r="K17" s="16">
        <f>B17/(Parameters!$C$5*Parameters!$C$6)+D17/(Parameters!$C$5*Parameters!$C$7)+E17/(Parameters!$C$5*Parameters!$C$8)</f>
        <v>0.19649411764705882</v>
      </c>
      <c r="L17" s="16">
        <f>K17+2*A17*Parameters!$C$28/Parameters!$C$6</f>
        <v>1.3484941176470588</v>
      </c>
      <c r="M17" s="12">
        <f t="shared" si="1"/>
        <v>134.50588235294117</v>
      </c>
      <c r="N17" s="12">
        <f t="shared" si="2"/>
        <v>76.905882352941177</v>
      </c>
      <c r="O17" s="12">
        <f t="shared" si="3"/>
        <v>84.576470588235296</v>
      </c>
      <c r="P17" s="12">
        <f>J17+F17+Parameters!$C$31*1000000</f>
        <v>80.505882352941171</v>
      </c>
      <c r="Q17" s="12">
        <f>Parameters!$C$6*1000000-N17</f>
        <v>23.094117647058823</v>
      </c>
      <c r="R17" s="7">
        <f>IF(M17&lt;=Parameters!$C$6*1000000,1,0)</f>
        <v>0</v>
      </c>
      <c r="S17" s="7">
        <f>IF(N17&lt;=Parameters!$C$6*1000000,1,0)</f>
        <v>1</v>
      </c>
      <c r="T17" s="7">
        <f>IF(K17&lt;=Parameters!$C$12,1,0)</f>
        <v>1</v>
      </c>
      <c r="U17" s="16">
        <f>C17/(Parameters!$C$5*Parameters!$C$6)+D17/(Parameters!$C$5*Parameters!$C$7)+E17/(Parameters!$C$5*Parameters!$C$8)</f>
        <v>0.16637647058823529</v>
      </c>
    </row>
    <row r="18" spans="1:21" x14ac:dyDescent="0.35">
      <c r="A18" s="13">
        <v>17</v>
      </c>
      <c r="B18" s="14">
        <f>Parameters!$C$21*A18*(A18-1)+2*Parameters!$C$22*A18+Parameters!$C$23</f>
        <v>3688</v>
      </c>
      <c r="C18" s="14">
        <f t="shared" si="0"/>
        <v>2999.4747320502311</v>
      </c>
      <c r="D18" s="14">
        <f>Parameters!$C$24+Parameters!$C$25*A18</f>
        <v>523</v>
      </c>
      <c r="E18" s="14">
        <f>Parameters!$C$26</f>
        <v>800</v>
      </c>
      <c r="F18" s="12">
        <f>B18/Parameters!$C$5*1000000</f>
        <v>21.694117647058821</v>
      </c>
      <c r="G18" s="12">
        <f>D18/Parameters!$C$5*1000000</f>
        <v>3.0764705882352938</v>
      </c>
      <c r="H18" s="12">
        <f>E18/Parameters!$C$5*1000000</f>
        <v>4.7058823529411757</v>
      </c>
      <c r="I18" s="17">
        <f>2*A18*Parameters!$C$28*1000000</f>
        <v>122.39999999999999</v>
      </c>
      <c r="J18" s="17">
        <f>A18*Parameters!$C$28*1000000</f>
        <v>61.199999999999996</v>
      </c>
      <c r="K18" s="16">
        <f>B18/(Parameters!$C$5*Parameters!$C$6)+D18/(Parameters!$C$5*Parameters!$C$7)+E18/(Parameters!$C$5*Parameters!$C$8)</f>
        <v>0.22048823529411765</v>
      </c>
      <c r="L18" s="16">
        <f>K18+2*A18*Parameters!$C$28/Parameters!$C$6</f>
        <v>1.4444882352941177</v>
      </c>
      <c r="M18" s="12">
        <f t="shared" si="1"/>
        <v>144.09411764705882</v>
      </c>
      <c r="N18" s="12">
        <f t="shared" si="2"/>
        <v>82.89411764705882</v>
      </c>
      <c r="O18" s="12">
        <f t="shared" si="3"/>
        <v>90.67647058823529</v>
      </c>
      <c r="P18" s="12">
        <f>J18+F18+Parameters!$C$31*1000000</f>
        <v>86.494117647058815</v>
      </c>
      <c r="Q18" s="12">
        <f>Parameters!$C$6*1000000-N18</f>
        <v>17.10588235294118</v>
      </c>
      <c r="R18" s="7">
        <f>IF(M18&lt;=Parameters!$C$6*1000000,1,0)</f>
        <v>0</v>
      </c>
      <c r="S18" s="7">
        <f>IF(N18&lt;=Parameters!$C$6*1000000,1,0)</f>
        <v>1</v>
      </c>
      <c r="T18" s="7">
        <f>IF(K18&lt;=Parameters!$C$12,1,0)</f>
        <v>1</v>
      </c>
      <c r="U18" s="16">
        <f>C18/(Parameters!$C$5*Parameters!$C$6)+D18/(Parameters!$C$5*Parameters!$C$7)+E18/(Parameters!$C$5*Parameters!$C$8)</f>
        <v>0.17998674894413122</v>
      </c>
    </row>
    <row r="19" spans="1:21" x14ac:dyDescent="0.35">
      <c r="A19" s="13">
        <v>18</v>
      </c>
      <c r="B19" s="14">
        <f>Parameters!$C$21*A19*(A19-1)+2*Parameters!$C$22*A19+Parameters!$C$23</f>
        <v>4118</v>
      </c>
      <c r="C19" s="14">
        <f t="shared" si="0"/>
        <v>3232.3460010384647</v>
      </c>
      <c r="D19" s="14">
        <f>Parameters!$C$24+Parameters!$C$25*A19</f>
        <v>542</v>
      </c>
      <c r="E19" s="14">
        <f>Parameters!$C$26</f>
        <v>800</v>
      </c>
      <c r="F19" s="12">
        <f>B19/Parameters!$C$5*1000000</f>
        <v>24.223529411764705</v>
      </c>
      <c r="G19" s="12">
        <f>D19/Parameters!$C$5*1000000</f>
        <v>3.1882352941176473</v>
      </c>
      <c r="H19" s="12">
        <f>E19/Parameters!$C$5*1000000</f>
        <v>4.7058823529411757</v>
      </c>
      <c r="I19" s="17">
        <f>2*A19*Parameters!$C$28*1000000</f>
        <v>129.6</v>
      </c>
      <c r="J19" s="17">
        <f>A19*Parameters!$C$28*1000000</f>
        <v>64.8</v>
      </c>
      <c r="K19" s="16">
        <f>B19/(Parameters!$C$5*Parameters!$C$6)+D19/(Parameters!$C$5*Parameters!$C$7)+E19/(Parameters!$C$5*Parameters!$C$8)</f>
        <v>0.24589411764705882</v>
      </c>
      <c r="L19" s="16">
        <f>K19+2*A19*Parameters!$C$28/Parameters!$C$6</f>
        <v>1.5418941176470589</v>
      </c>
      <c r="M19" s="12">
        <f t="shared" si="1"/>
        <v>153.8235294117647</v>
      </c>
      <c r="N19" s="12">
        <f t="shared" si="2"/>
        <v>89.023529411764699</v>
      </c>
      <c r="O19" s="12">
        <f t="shared" si="3"/>
        <v>96.917647058823519</v>
      </c>
      <c r="P19" s="12">
        <f>J19+F19+Parameters!$C$31*1000000</f>
        <v>92.623529411764693</v>
      </c>
      <c r="Q19" s="12">
        <f>Parameters!$C$6*1000000-N19</f>
        <v>10.976470588235301</v>
      </c>
      <c r="R19" s="7">
        <f>IF(M19&lt;=Parameters!$C$6*1000000,1,0)</f>
        <v>0</v>
      </c>
      <c r="S19" s="7">
        <f>IF(N19&lt;=Parameters!$C$6*1000000,1,0)</f>
        <v>1</v>
      </c>
      <c r="T19" s="7">
        <f>IF(K19&lt;=Parameters!$C$12,1,0)</f>
        <v>1</v>
      </c>
      <c r="U19" s="16">
        <f>C19/(Parameters!$C$5*Parameters!$C$6)+D19/(Parameters!$C$5*Parameters!$C$7)+E19/(Parameters!$C$5*Parameters!$C$8)</f>
        <v>0.19379682359049794</v>
      </c>
    </row>
    <row r="20" spans="1:21" x14ac:dyDescent="0.35">
      <c r="A20" s="13">
        <v>19</v>
      </c>
      <c r="B20" s="14">
        <f>Parameters!$C$21*A20*(A20-1)+2*Parameters!$C$22*A20+Parameters!$C$23</f>
        <v>4572</v>
      </c>
      <c r="C20" s="14">
        <f t="shared" si="0"/>
        <v>3468.4249102171248</v>
      </c>
      <c r="D20" s="14">
        <f>Parameters!$C$24+Parameters!$C$25*A20</f>
        <v>561</v>
      </c>
      <c r="E20" s="14">
        <f>Parameters!$C$26</f>
        <v>800</v>
      </c>
      <c r="F20" s="12">
        <f>B20/Parameters!$C$5*1000000</f>
        <v>26.894117647058824</v>
      </c>
      <c r="G20" s="12">
        <f>D20/Parameters!$C$5*1000000</f>
        <v>3.3000000000000003</v>
      </c>
      <c r="H20" s="12">
        <f>E20/Parameters!$C$5*1000000</f>
        <v>4.7058823529411757</v>
      </c>
      <c r="I20" s="17">
        <f>2*A20*Parameters!$C$28*1000000</f>
        <v>136.79999999999998</v>
      </c>
      <c r="J20" s="17">
        <f>A20*Parameters!$C$28*1000000</f>
        <v>68.399999999999991</v>
      </c>
      <c r="K20" s="16">
        <f>B20/(Parameters!$C$5*Parameters!$C$6)+D20/(Parameters!$C$5*Parameters!$C$7)+E20/(Parameters!$C$5*Parameters!$C$8)</f>
        <v>0.27271176470588238</v>
      </c>
      <c r="L20" s="16">
        <f>K20+2*A20*Parameters!$C$28/Parameters!$C$6</f>
        <v>1.6407117647058822</v>
      </c>
      <c r="M20" s="12">
        <f t="shared" si="1"/>
        <v>163.69411764705882</v>
      </c>
      <c r="N20" s="12">
        <f t="shared" si="2"/>
        <v>95.294117647058812</v>
      </c>
      <c r="O20" s="12">
        <f t="shared" si="3"/>
        <v>103.29999999999998</v>
      </c>
      <c r="P20" s="12">
        <f>J20+F20+Parameters!$C$31*1000000</f>
        <v>98.894117647058806</v>
      </c>
      <c r="Q20" s="12">
        <f>Parameters!$C$6*1000000-N20</f>
        <v>4.7058823529411882</v>
      </c>
      <c r="R20" s="7">
        <f>IF(M20&lt;=Parameters!$C$6*1000000,1,0)</f>
        <v>0</v>
      </c>
      <c r="S20" s="7">
        <f>IF(N20&lt;=Parameters!$C$6*1000000,1,0)</f>
        <v>1</v>
      </c>
      <c r="T20" s="7">
        <f>IF(K20&lt;=Parameters!$C$12,1,0)</f>
        <v>1</v>
      </c>
      <c r="U20" s="16">
        <f>C20/(Parameters!$C$5*Parameters!$C$6)+D20/(Parameters!$C$5*Parameters!$C$7)+E20/(Parameters!$C$5*Parameters!$C$8)</f>
        <v>0.20779558295394851</v>
      </c>
    </row>
    <row r="21" spans="1:21" x14ac:dyDescent="0.35">
      <c r="A21" s="13">
        <v>20</v>
      </c>
      <c r="B21" s="14">
        <f>Parameters!$C$21*A21*(A21-1)+2*Parameters!$C$22*A21+Parameters!$C$23</f>
        <v>5050</v>
      </c>
      <c r="C21" s="14">
        <f t="shared" si="0"/>
        <v>3707.5424759098901</v>
      </c>
      <c r="D21" s="14">
        <f>Parameters!$C$24+Parameters!$C$25*A21</f>
        <v>580</v>
      </c>
      <c r="E21" s="14">
        <f>Parameters!$C$26</f>
        <v>800</v>
      </c>
      <c r="F21" s="12">
        <f>B21/Parameters!$C$5*1000000</f>
        <v>29.705882352941178</v>
      </c>
      <c r="G21" s="12">
        <f>D21/Parameters!$C$5*1000000</f>
        <v>3.4117647058823528</v>
      </c>
      <c r="H21" s="12">
        <f>E21/Parameters!$C$5*1000000</f>
        <v>4.7058823529411757</v>
      </c>
      <c r="I21" s="17">
        <f>2*A21*Parameters!$C$28*1000000</f>
        <v>144</v>
      </c>
      <c r="J21" s="17">
        <f>A21*Parameters!$C$28*1000000</f>
        <v>72</v>
      </c>
      <c r="K21" s="16">
        <f>B21/(Parameters!$C$5*Parameters!$C$6)+D21/(Parameters!$C$5*Parameters!$C$7)+E21/(Parameters!$C$5*Parameters!$C$8)</f>
        <v>0.30094117647058821</v>
      </c>
      <c r="L21" s="16">
        <f>K21+2*A21*Parameters!$C$28/Parameters!$C$6</f>
        <v>1.7409411764705882</v>
      </c>
      <c r="M21" s="12">
        <f t="shared" si="1"/>
        <v>173.70588235294119</v>
      </c>
      <c r="N21" s="12">
        <f t="shared" si="2"/>
        <v>101.70588235294117</v>
      </c>
      <c r="O21" s="12">
        <f t="shared" si="3"/>
        <v>109.8235294117647</v>
      </c>
      <c r="P21" s="12">
        <f>J21+F21+Parameters!$C$31*1000000</f>
        <v>105.30588235294117</v>
      </c>
      <c r="Q21" s="12">
        <f>Parameters!$C$6*1000000-N21</f>
        <v>-1.705882352941174</v>
      </c>
      <c r="R21" s="7">
        <f>IF(M21&lt;=Parameters!$C$6*1000000,1,0)</f>
        <v>0</v>
      </c>
      <c r="S21" s="7">
        <f>IF(N21&lt;=Parameters!$C$6*1000000,1,0)</f>
        <v>0</v>
      </c>
      <c r="T21" s="7">
        <f>IF(K21&lt;=Parameters!$C$12,1,0)</f>
        <v>1</v>
      </c>
      <c r="U21" s="16">
        <f>C21/(Parameters!$C$5*Parameters!$C$6)+D21/(Parameters!$C$5*Parameters!$C$7)+E21/(Parameters!$C$5*Parameters!$C$8)</f>
        <v>0.22197308681822883</v>
      </c>
    </row>
    <row r="22" spans="1:21" x14ac:dyDescent="0.35">
      <c r="A22" s="13">
        <v>21</v>
      </c>
      <c r="B22" s="14">
        <f>Parameters!$C$21*A22*(A22-1)+2*Parameters!$C$22*A22+Parameters!$C$23</f>
        <v>5552</v>
      </c>
      <c r="C22" s="14">
        <f t="shared" si="0"/>
        <v>3949.5466351341588</v>
      </c>
      <c r="D22" s="14">
        <f>Parameters!$C$24+Parameters!$C$25*A22</f>
        <v>599</v>
      </c>
      <c r="E22" s="14">
        <f>Parameters!$C$26</f>
        <v>800</v>
      </c>
      <c r="F22" s="12">
        <f>B22/Parameters!$C$5*1000000</f>
        <v>32.658823529411762</v>
      </c>
      <c r="G22" s="12">
        <f>D22/Parameters!$C$5*1000000</f>
        <v>3.5235294117647058</v>
      </c>
      <c r="H22" s="12">
        <f>E22/Parameters!$C$5*1000000</f>
        <v>4.7058823529411757</v>
      </c>
      <c r="I22" s="17">
        <f>2*A22*Parameters!$C$28*1000000</f>
        <v>151.19999999999999</v>
      </c>
      <c r="J22" s="17">
        <f>A22*Parameters!$C$28*1000000</f>
        <v>75.599999999999994</v>
      </c>
      <c r="K22" s="16">
        <f>B22/(Parameters!$C$5*Parameters!$C$6)+D22/(Parameters!$C$5*Parameters!$C$7)+E22/(Parameters!$C$5*Parameters!$C$8)</f>
        <v>0.33058235294117644</v>
      </c>
      <c r="L22" s="16">
        <f>K22+2*A22*Parameters!$C$28/Parameters!$C$6</f>
        <v>1.8425823529411762</v>
      </c>
      <c r="M22" s="12">
        <f t="shared" si="1"/>
        <v>183.85882352941175</v>
      </c>
      <c r="N22" s="12">
        <f t="shared" si="2"/>
        <v>108.25882352941176</v>
      </c>
      <c r="O22" s="12">
        <f t="shared" si="3"/>
        <v>116.48823529411764</v>
      </c>
      <c r="P22" s="12">
        <f>J22+F22+Parameters!$C$31*1000000</f>
        <v>111.85882352941175</v>
      </c>
      <c r="Q22" s="12">
        <f>Parameters!$C$6*1000000-N22</f>
        <v>-8.2588235294117567</v>
      </c>
      <c r="R22" s="7">
        <f>IF(M22&lt;=Parameters!$C$6*1000000,1,0)</f>
        <v>0</v>
      </c>
      <c r="S22" s="7">
        <f>IF(N22&lt;=Parameters!$C$6*1000000,1,0)</f>
        <v>0</v>
      </c>
      <c r="T22" s="7">
        <f>IF(K22&lt;=Parameters!$C$12,1,0)</f>
        <v>1</v>
      </c>
      <c r="U22" s="16">
        <f>C22/(Parameters!$C$5*Parameters!$C$6)+D22/(Parameters!$C$5*Parameters!$C$7)+E22/(Parameters!$C$5*Parameters!$C$8)</f>
        <v>0.23632039030200933</v>
      </c>
    </row>
    <row r="23" spans="1:21" x14ac:dyDescent="0.35">
      <c r="A23" s="13">
        <v>22</v>
      </c>
      <c r="B23" s="14">
        <f>Parameters!$C$21*A23*(A23-1)+2*Parameters!$C$22*A23+Parameters!$C$23</f>
        <v>6078</v>
      </c>
      <c r="C23" s="14">
        <f t="shared" si="0"/>
        <v>4194.2998244008213</v>
      </c>
      <c r="D23" s="14">
        <f>Parameters!$C$24+Parameters!$C$25*A23</f>
        <v>618</v>
      </c>
      <c r="E23" s="14">
        <f>Parameters!$C$26</f>
        <v>800</v>
      </c>
      <c r="F23" s="12">
        <f>B23/Parameters!$C$5*1000000</f>
        <v>35.752941176470586</v>
      </c>
      <c r="G23" s="12">
        <f>D23/Parameters!$C$5*1000000</f>
        <v>3.6352941176470588</v>
      </c>
      <c r="H23" s="12">
        <f>E23/Parameters!$C$5*1000000</f>
        <v>4.7058823529411757</v>
      </c>
      <c r="I23" s="17">
        <f>2*A23*Parameters!$C$28*1000000</f>
        <v>158.4</v>
      </c>
      <c r="J23" s="17">
        <f>A23*Parameters!$C$28*1000000</f>
        <v>79.2</v>
      </c>
      <c r="K23" s="16">
        <f>B23/(Parameters!$C$5*Parameters!$C$6)+D23/(Parameters!$C$5*Parameters!$C$7)+E23/(Parameters!$C$5*Parameters!$C$8)</f>
        <v>0.36163529411764705</v>
      </c>
      <c r="L23" s="16">
        <f>K23+2*A23*Parameters!$C$28/Parameters!$C$6</f>
        <v>1.9456352941176469</v>
      </c>
      <c r="M23" s="12">
        <f t="shared" si="1"/>
        <v>194.15294117647059</v>
      </c>
      <c r="N23" s="12">
        <f t="shared" si="2"/>
        <v>114.95294117647059</v>
      </c>
      <c r="O23" s="12">
        <f t="shared" si="3"/>
        <v>123.29411764705883</v>
      </c>
      <c r="P23" s="12">
        <f>J23+F23+Parameters!$C$31*1000000</f>
        <v>118.55294117647058</v>
      </c>
      <c r="Q23" s="12">
        <f>Parameters!$C$6*1000000-N23</f>
        <v>-14.952941176470588</v>
      </c>
      <c r="R23" s="7">
        <f>IF(M23&lt;=Parameters!$C$6*1000000,1,0)</f>
        <v>0</v>
      </c>
      <c r="S23" s="7">
        <f>IF(N23&lt;=Parameters!$C$6*1000000,1,0)</f>
        <v>0</v>
      </c>
      <c r="T23" s="7">
        <f>IF(K23&lt;=Parameters!$C$12,1,0)</f>
        <v>1</v>
      </c>
      <c r="U23" s="16">
        <f>C23/(Parameters!$C$5*Parameters!$C$6)+D23/(Parameters!$C$5*Parameters!$C$7)+E23/(Parameters!$C$5*Parameters!$C$8)</f>
        <v>0.25082940143534244</v>
      </c>
    </row>
    <row r="24" spans="1:21" x14ac:dyDescent="0.35">
      <c r="A24" s="13">
        <v>23</v>
      </c>
      <c r="B24" s="14">
        <f>Parameters!$C$21*A24*(A24-1)+2*Parameters!$C$22*A24+Parameters!$C$23</f>
        <v>6628</v>
      </c>
      <c r="C24" s="14">
        <f t="shared" si="0"/>
        <v>4441.6769995724517</v>
      </c>
      <c r="D24" s="14">
        <f>Parameters!$C$24+Parameters!$C$25*A24</f>
        <v>637</v>
      </c>
      <c r="E24" s="14">
        <f>Parameters!$C$26</f>
        <v>800</v>
      </c>
      <c r="F24" s="12">
        <f>B24/Parameters!$C$5*1000000</f>
        <v>38.988235294117644</v>
      </c>
      <c r="G24" s="12">
        <f>D24/Parameters!$C$5*1000000</f>
        <v>3.7470588235294118</v>
      </c>
      <c r="H24" s="12">
        <f>E24/Parameters!$C$5*1000000</f>
        <v>4.7058823529411757</v>
      </c>
      <c r="I24" s="17">
        <f>2*A24*Parameters!$C$28*1000000</f>
        <v>165.6</v>
      </c>
      <c r="J24" s="17">
        <f>A24*Parameters!$C$28*1000000</f>
        <v>82.8</v>
      </c>
      <c r="K24" s="16">
        <f>B24/(Parameters!$C$5*Parameters!$C$6)+D24/(Parameters!$C$5*Parameters!$C$7)+E24/(Parameters!$C$5*Parameters!$C$8)</f>
        <v>0.39410000000000001</v>
      </c>
      <c r="L24" s="16">
        <f>K24+2*A24*Parameters!$C$28/Parameters!$C$6</f>
        <v>2.0500999999999996</v>
      </c>
      <c r="M24" s="12">
        <f t="shared" si="1"/>
        <v>204.58823529411762</v>
      </c>
      <c r="N24" s="12">
        <f t="shared" si="2"/>
        <v>121.78823529411764</v>
      </c>
      <c r="O24" s="12">
        <f t="shared" si="3"/>
        <v>130.24117647058824</v>
      </c>
      <c r="P24" s="12">
        <f>J24+F24+Parameters!$C$31*1000000</f>
        <v>125.38823529411764</v>
      </c>
      <c r="Q24" s="12">
        <f>Parameters!$C$6*1000000-N24</f>
        <v>-21.788235294117641</v>
      </c>
      <c r="R24" s="7">
        <f>IF(M24&lt;=Parameters!$C$6*1000000,1,0)</f>
        <v>0</v>
      </c>
      <c r="S24" s="7">
        <f>IF(N24&lt;=Parameters!$C$6*1000000,1,0)</f>
        <v>0</v>
      </c>
      <c r="T24" s="7">
        <f>IF(K24&lt;=Parameters!$C$12,1,0)</f>
        <v>1</v>
      </c>
      <c r="U24" s="16">
        <f>C24/(Parameters!$C$5*Parameters!$C$6)+D24/(Parameters!$C$5*Parameters!$C$7)+E24/(Parameters!$C$5*Parameters!$C$8)</f>
        <v>0.26549276468073246</v>
      </c>
    </row>
    <row r="25" spans="1:21" x14ac:dyDescent="0.35">
      <c r="A25" s="13">
        <v>24</v>
      </c>
      <c r="B25" s="14">
        <f>Parameters!$C$21*A25*(A25-1)+2*Parameters!$C$22*A25+Parameters!$C$23</f>
        <v>7202</v>
      </c>
      <c r="C25" s="14">
        <f t="shared" si="0"/>
        <v>4691.5640006923104</v>
      </c>
      <c r="D25" s="14">
        <f>Parameters!$C$24+Parameters!$C$25*A25</f>
        <v>656</v>
      </c>
      <c r="E25" s="14">
        <f>Parameters!$C$26</f>
        <v>800</v>
      </c>
      <c r="F25" s="12">
        <f>B25/Parameters!$C$5*1000000</f>
        <v>42.364705882352936</v>
      </c>
      <c r="G25" s="12">
        <f>D25/Parameters!$C$5*1000000</f>
        <v>3.8588235294117652</v>
      </c>
      <c r="H25" s="12">
        <f>E25/Parameters!$C$5*1000000</f>
        <v>4.7058823529411757</v>
      </c>
      <c r="I25" s="17">
        <f>2*A25*Parameters!$C$28*1000000</f>
        <v>172.8</v>
      </c>
      <c r="J25" s="17">
        <f>A25*Parameters!$C$28*1000000</f>
        <v>86.4</v>
      </c>
      <c r="K25" s="16">
        <f>B25/(Parameters!$C$5*Parameters!$C$6)+D25/(Parameters!$C$5*Parameters!$C$7)+E25/(Parameters!$C$5*Parameters!$C$8)</f>
        <v>0.42797647058823529</v>
      </c>
      <c r="L25" s="16">
        <f>K25+2*A25*Parameters!$C$28/Parameters!$C$6</f>
        <v>2.1559764705882354</v>
      </c>
      <c r="M25" s="12">
        <f t="shared" si="1"/>
        <v>215.16470588235296</v>
      </c>
      <c r="N25" s="12">
        <f t="shared" si="2"/>
        <v>128.76470588235293</v>
      </c>
      <c r="O25" s="12">
        <f t="shared" si="3"/>
        <v>137.3294117647059</v>
      </c>
      <c r="P25" s="12">
        <f>J25+F25+Parameters!$C$31*1000000</f>
        <v>132.36470588235292</v>
      </c>
      <c r="Q25" s="12">
        <f>Parameters!$C$6*1000000-N25</f>
        <v>-28.764705882352928</v>
      </c>
      <c r="R25" s="7">
        <f>IF(M25&lt;=Parameters!$C$6*1000000,1,0)</f>
        <v>0</v>
      </c>
      <c r="S25" s="7">
        <f>IF(N25&lt;=Parameters!$C$6*1000000,1,0)</f>
        <v>0</v>
      </c>
      <c r="T25" s="7">
        <f>IF(K25&lt;=Parameters!$C$12,1,0)</f>
        <v>1</v>
      </c>
      <c r="U25" s="16">
        <f>C25/(Parameters!$C$5*Parameters!$C$6)+D25/(Parameters!$C$5*Parameters!$C$7)+E25/(Parameters!$C$5*Parameters!$C$8)</f>
        <v>0.28030376474660645</v>
      </c>
    </row>
    <row r="26" spans="1:21" x14ac:dyDescent="0.35">
      <c r="A26" s="13">
        <v>25</v>
      </c>
      <c r="B26" s="14">
        <f>Parameters!$C$21*A26*(A26-1)+2*Parameters!$C$22*A26+Parameters!$C$23</f>
        <v>7800</v>
      </c>
      <c r="C26" s="14">
        <f t="shared" si="0"/>
        <v>4943.856189774724</v>
      </c>
      <c r="D26" s="14">
        <f>Parameters!$C$24+Parameters!$C$25*A26</f>
        <v>675</v>
      </c>
      <c r="E26" s="14">
        <f>Parameters!$C$26</f>
        <v>800</v>
      </c>
      <c r="F26" s="12">
        <f>B26/Parameters!$C$5*1000000</f>
        <v>45.882352941176471</v>
      </c>
      <c r="G26" s="12">
        <f>D26/Parameters!$C$5*1000000</f>
        <v>3.9705882352941173</v>
      </c>
      <c r="H26" s="12">
        <f>E26/Parameters!$C$5*1000000</f>
        <v>4.7058823529411757</v>
      </c>
      <c r="I26" s="17">
        <f>2*A26*Parameters!$C$28*1000000</f>
        <v>179.99999999999997</v>
      </c>
      <c r="J26" s="17">
        <f>A26*Parameters!$C$28*1000000</f>
        <v>89.999999999999986</v>
      </c>
      <c r="K26" s="16">
        <f>B26/(Parameters!$C$5*Parameters!$C$6)+D26/(Parameters!$C$5*Parameters!$C$7)+E26/(Parameters!$C$5*Parameters!$C$8)</f>
        <v>0.46326470588235291</v>
      </c>
      <c r="L26" s="16">
        <f>K26+2*A26*Parameters!$C$28/Parameters!$C$6</f>
        <v>2.263264705882353</v>
      </c>
      <c r="M26" s="12">
        <f t="shared" si="1"/>
        <v>225.88235294117644</v>
      </c>
      <c r="N26" s="12">
        <f t="shared" si="2"/>
        <v>135.88235294117646</v>
      </c>
      <c r="O26" s="12">
        <f t="shared" si="3"/>
        <v>144.55882352941177</v>
      </c>
      <c r="P26" s="12">
        <f>J26+F26+Parameters!$C$31*1000000</f>
        <v>139.48235294117646</v>
      </c>
      <c r="Q26" s="12">
        <f>Parameters!$C$6*1000000-N26</f>
        <v>-35.882352941176464</v>
      </c>
      <c r="R26" s="7">
        <f>IF(M26&lt;=Parameters!$C$6*1000000,1,0)</f>
        <v>0</v>
      </c>
      <c r="S26" s="7">
        <f>IF(N26&lt;=Parameters!$C$6*1000000,1,0)</f>
        <v>0</v>
      </c>
      <c r="T26" s="7">
        <f>IF(K26&lt;=Parameters!$C$12,1,0)</f>
        <v>1</v>
      </c>
      <c r="U26" s="16">
        <f>C26/(Parameters!$C$5*Parameters!$C$6)+D26/(Parameters!$C$5*Parameters!$C$7)+E26/(Parameters!$C$5*Parameters!$C$8)</f>
        <v>0.29525624645733672</v>
      </c>
    </row>
    <row r="27" spans="1:21" x14ac:dyDescent="0.35">
      <c r="A27" s="13">
        <v>26</v>
      </c>
      <c r="B27" s="14">
        <f>Parameters!$C$21*A27*(A27-1)+2*Parameters!$C$22*A27+Parameters!$C$23</f>
        <v>8422</v>
      </c>
      <c r="C27" s="14">
        <f t="shared" si="0"/>
        <v>5198.457306866736</v>
      </c>
      <c r="D27" s="14">
        <f>Parameters!$C$24+Parameters!$C$25*A27</f>
        <v>694</v>
      </c>
      <c r="E27" s="14">
        <f>Parameters!$C$26</f>
        <v>800</v>
      </c>
      <c r="F27" s="12">
        <f>B27/Parameters!$C$5*1000000</f>
        <v>49.541176470588233</v>
      </c>
      <c r="G27" s="12">
        <f>D27/Parameters!$C$5*1000000</f>
        <v>4.0823529411764703</v>
      </c>
      <c r="H27" s="12">
        <f>E27/Parameters!$C$5*1000000</f>
        <v>4.7058823529411757</v>
      </c>
      <c r="I27" s="17">
        <f>2*A27*Parameters!$C$28*1000000</f>
        <v>187.2</v>
      </c>
      <c r="J27" s="17">
        <f>A27*Parameters!$C$28*1000000</f>
        <v>93.6</v>
      </c>
      <c r="K27" s="16">
        <f>B27/(Parameters!$C$5*Parameters!$C$6)+D27/(Parameters!$C$5*Parameters!$C$7)+E27/(Parameters!$C$5*Parameters!$C$8)</f>
        <v>0.49996470588235292</v>
      </c>
      <c r="L27" s="16">
        <f>K27+2*A27*Parameters!$C$28/Parameters!$C$6</f>
        <v>2.3719647058823528</v>
      </c>
      <c r="M27" s="12">
        <f t="shared" si="1"/>
        <v>236.74117647058821</v>
      </c>
      <c r="N27" s="12">
        <f t="shared" si="2"/>
        <v>143.14117647058822</v>
      </c>
      <c r="O27" s="12">
        <f t="shared" si="3"/>
        <v>151.92941176470589</v>
      </c>
      <c r="P27" s="12">
        <f>J27+F27+Parameters!$C$31*1000000</f>
        <v>146.74117647058821</v>
      </c>
      <c r="Q27" s="12">
        <f>Parameters!$C$6*1000000-N27</f>
        <v>-43.141176470588221</v>
      </c>
      <c r="R27" s="7">
        <f>IF(M27&lt;=Parameters!$C$6*1000000,1,0)</f>
        <v>0</v>
      </c>
      <c r="S27" s="7">
        <f>IF(N27&lt;=Parameters!$C$6*1000000,1,0)</f>
        <v>0</v>
      </c>
      <c r="T27" s="7">
        <f>IF(K27&lt;=Parameters!$C$12,1,0)</f>
        <v>1</v>
      </c>
      <c r="U27" s="16">
        <f>C27/(Parameters!$C$5*Parameters!$C$6)+D27/(Parameters!$C$5*Parameters!$C$7)+E27/(Parameters!$C$5*Parameters!$C$8)</f>
        <v>0.3103445474627492</v>
      </c>
    </row>
    <row r="28" spans="1:21" x14ac:dyDescent="0.35">
      <c r="A28" s="13">
        <v>27</v>
      </c>
      <c r="B28" s="14">
        <f>Parameters!$C$21*A28*(A28-1)+2*Parameters!$C$22*A28+Parameters!$C$23</f>
        <v>9068</v>
      </c>
      <c r="C28" s="14">
        <f t="shared" si="0"/>
        <v>5455.2785023365468</v>
      </c>
      <c r="D28" s="14">
        <f>Parameters!$C$24+Parameters!$C$25*A28</f>
        <v>713</v>
      </c>
      <c r="E28" s="14">
        <f>Parameters!$C$26</f>
        <v>800</v>
      </c>
      <c r="F28" s="12">
        <f>B28/Parameters!$C$5*1000000</f>
        <v>53.341176470588231</v>
      </c>
      <c r="G28" s="12">
        <f>D28/Parameters!$C$5*1000000</f>
        <v>4.1941176470588237</v>
      </c>
      <c r="H28" s="12">
        <f>E28/Parameters!$C$5*1000000</f>
        <v>4.7058823529411757</v>
      </c>
      <c r="I28" s="17">
        <f>2*A28*Parameters!$C$28*1000000</f>
        <v>194.39999999999998</v>
      </c>
      <c r="J28" s="17">
        <f>A28*Parameters!$C$28*1000000</f>
        <v>97.199999999999989</v>
      </c>
      <c r="K28" s="16">
        <f>B28/(Parameters!$C$5*Parameters!$C$6)+D28/(Parameters!$C$5*Parameters!$C$7)+E28/(Parameters!$C$5*Parameters!$C$8)</f>
        <v>0.53807647058823527</v>
      </c>
      <c r="L28" s="16">
        <f>K28+2*A28*Parameters!$C$28/Parameters!$C$6</f>
        <v>2.4820764705882352</v>
      </c>
      <c r="M28" s="12">
        <f t="shared" si="1"/>
        <v>247.74117647058821</v>
      </c>
      <c r="N28" s="12">
        <f t="shared" si="2"/>
        <v>150.54117647058823</v>
      </c>
      <c r="O28" s="12">
        <f t="shared" si="3"/>
        <v>159.44117647058823</v>
      </c>
      <c r="P28" s="12">
        <f>J28+F28+Parameters!$C$31*1000000</f>
        <v>154.14117647058822</v>
      </c>
      <c r="Q28" s="12">
        <f>Parameters!$C$6*1000000-N28</f>
        <v>-50.541176470588226</v>
      </c>
      <c r="R28" s="7">
        <f>IF(M28&lt;=Parameters!$C$6*1000000,1,0)</f>
        <v>0</v>
      </c>
      <c r="S28" s="7">
        <f>IF(N28&lt;=Parameters!$C$6*1000000,1,0)</f>
        <v>0</v>
      </c>
      <c r="T28" s="7">
        <f>IF(K28&lt;=Parameters!$C$12,1,0)</f>
        <v>1</v>
      </c>
      <c r="U28" s="16">
        <f>C28/(Parameters!$C$5*Parameters!$C$6)+D28/(Parameters!$C$5*Parameters!$C$7)+E28/(Parameters!$C$5*Parameters!$C$8)</f>
        <v>0.32556344131391451</v>
      </c>
    </row>
    <row r="29" spans="1:21" x14ac:dyDescent="0.35">
      <c r="A29" s="13">
        <v>28</v>
      </c>
      <c r="B29" s="14">
        <f>Parameters!$C$21*A29*(A29-1)+2*Parameters!$C$22*A29+Parameters!$C$23</f>
        <v>9738</v>
      </c>
      <c r="C29" s="14">
        <f t="shared" si="0"/>
        <v>5714.2375127045161</v>
      </c>
      <c r="D29" s="14">
        <f>Parameters!$C$24+Parameters!$C$25*A29</f>
        <v>732</v>
      </c>
      <c r="E29" s="14">
        <f>Parameters!$C$26</f>
        <v>800</v>
      </c>
      <c r="F29" s="12">
        <f>B29/Parameters!$C$5*1000000</f>
        <v>57.28235294117647</v>
      </c>
      <c r="G29" s="12">
        <f>D29/Parameters!$C$5*1000000</f>
        <v>4.3058823529411763</v>
      </c>
      <c r="H29" s="12">
        <f>E29/Parameters!$C$5*1000000</f>
        <v>4.7058823529411757</v>
      </c>
      <c r="I29" s="17">
        <f>2*A29*Parameters!$C$28*1000000</f>
        <v>201.6</v>
      </c>
      <c r="J29" s="17">
        <f>A29*Parameters!$C$28*1000000</f>
        <v>100.8</v>
      </c>
      <c r="K29" s="16">
        <f>B29/(Parameters!$C$5*Parameters!$C$6)+D29/(Parameters!$C$5*Parameters!$C$7)+E29/(Parameters!$C$5*Parameters!$C$8)</f>
        <v>0.5776</v>
      </c>
      <c r="L29" s="16">
        <f>K29+2*A29*Parameters!$C$28/Parameters!$C$6</f>
        <v>2.5935999999999999</v>
      </c>
      <c r="M29" s="12">
        <f t="shared" si="1"/>
        <v>258.88235294117646</v>
      </c>
      <c r="N29" s="12">
        <f t="shared" si="2"/>
        <v>158.08235294117645</v>
      </c>
      <c r="O29" s="12">
        <f t="shared" si="3"/>
        <v>167.09411764705882</v>
      </c>
      <c r="P29" s="12">
        <f>J29+F29+Parameters!$C$31*1000000</f>
        <v>161.68235294117645</v>
      </c>
      <c r="Q29" s="12">
        <f>Parameters!$C$6*1000000-N29</f>
        <v>-58.082352941176453</v>
      </c>
      <c r="R29" s="7">
        <f>IF(M29&lt;=Parameters!$C$6*1000000,1,0)</f>
        <v>0</v>
      </c>
      <c r="S29" s="7">
        <f>IF(N29&lt;=Parameters!$C$6*1000000,1,0)</f>
        <v>0</v>
      </c>
      <c r="T29" s="7">
        <f>IF(K29&lt;=Parameters!$C$12,1,0)</f>
        <v>1</v>
      </c>
      <c r="U29" s="16">
        <f>C29/(Parameters!$C$5*Parameters!$C$6)+D29/(Parameters!$C$5*Parameters!$C$7)+E29/(Parameters!$C$5*Parameters!$C$8)</f>
        <v>0.3409080889826186</v>
      </c>
    </row>
    <row r="30" spans="1:21" x14ac:dyDescent="0.35">
      <c r="A30" s="13">
        <v>29</v>
      </c>
      <c r="B30" s="14">
        <f>Parameters!$C$21*A30*(A30-1)+2*Parameters!$C$22*A30+Parameters!$C$23</f>
        <v>10432</v>
      </c>
      <c r="C30" s="14">
        <f t="shared" si="0"/>
        <v>5975.2579543479842</v>
      </c>
      <c r="D30" s="14">
        <f>Parameters!$C$24+Parameters!$C$25*A30</f>
        <v>751</v>
      </c>
      <c r="E30" s="14">
        <f>Parameters!$C$26</f>
        <v>800</v>
      </c>
      <c r="F30" s="12">
        <f>B30/Parameters!$C$5*1000000</f>
        <v>61.364705882352936</v>
      </c>
      <c r="G30" s="12">
        <f>D30/Parameters!$C$5*1000000</f>
        <v>4.4176470588235297</v>
      </c>
      <c r="H30" s="12">
        <f>E30/Parameters!$C$5*1000000</f>
        <v>4.7058823529411757</v>
      </c>
      <c r="I30" s="17">
        <f>2*A30*Parameters!$C$28*1000000</f>
        <v>208.79999999999998</v>
      </c>
      <c r="J30" s="17">
        <f>A30*Parameters!$C$28*1000000</f>
        <v>104.39999999999999</v>
      </c>
      <c r="K30" s="16">
        <f>B30/(Parameters!$C$5*Parameters!$C$6)+D30/(Parameters!$C$5*Parameters!$C$7)+E30/(Parameters!$C$5*Parameters!$C$8)</f>
        <v>0.61853529411764707</v>
      </c>
      <c r="L30" s="16">
        <f>K30+2*A30*Parameters!$C$28/Parameters!$C$6</f>
        <v>2.7065352941176468</v>
      </c>
      <c r="M30" s="12">
        <f t="shared" si="1"/>
        <v>270.16470588235291</v>
      </c>
      <c r="N30" s="12">
        <f t="shared" si="2"/>
        <v>165.76470588235293</v>
      </c>
      <c r="O30" s="12">
        <f t="shared" si="3"/>
        <v>174.88823529411764</v>
      </c>
      <c r="P30" s="12">
        <f>J30+F30+Parameters!$C$31*1000000</f>
        <v>169.36470588235292</v>
      </c>
      <c r="Q30" s="12">
        <f>Parameters!$C$6*1000000-N30</f>
        <v>-65.764705882352928</v>
      </c>
      <c r="R30" s="7">
        <f>IF(M30&lt;=Parameters!$C$6*1000000,1,0)</f>
        <v>0</v>
      </c>
      <c r="S30" s="7">
        <f>IF(N30&lt;=Parameters!$C$6*1000000,1,0)</f>
        <v>0</v>
      </c>
      <c r="T30" s="7">
        <f>IF(K30&lt;=Parameters!$C$12,1,0)</f>
        <v>1</v>
      </c>
      <c r="U30" s="16">
        <f>C30/(Parameters!$C$5*Parameters!$C$6)+D30/(Parameters!$C$5*Parameters!$C$7)+E30/(Parameters!$C$5*Parameters!$C$8)</f>
        <v>0.3563739973145873</v>
      </c>
    </row>
    <row r="31" spans="1:21" x14ac:dyDescent="0.35">
      <c r="A31" s="13">
        <v>30</v>
      </c>
      <c r="B31" s="14">
        <f>Parameters!$C$21*A31*(A31-1)+2*Parameters!$C$22*A31+Parameters!$C$23</f>
        <v>11150</v>
      </c>
      <c r="C31" s="14">
        <f t="shared" si="0"/>
        <v>6238.2687147302222</v>
      </c>
      <c r="D31" s="14">
        <f>Parameters!$C$24+Parameters!$C$25*A31</f>
        <v>770</v>
      </c>
      <c r="E31" s="14">
        <f>Parameters!$C$26</f>
        <v>800</v>
      </c>
      <c r="F31" s="12">
        <f>B31/Parameters!$C$5*1000000</f>
        <v>65.588235294117638</v>
      </c>
      <c r="G31" s="12">
        <f>D31/Parameters!$C$5*1000000</f>
        <v>4.5294117647058822</v>
      </c>
      <c r="H31" s="12">
        <f>E31/Parameters!$C$5*1000000</f>
        <v>4.7058823529411757</v>
      </c>
      <c r="I31" s="17">
        <f>2*A31*Parameters!$C$28*1000000</f>
        <v>216</v>
      </c>
      <c r="J31" s="17">
        <f>A31*Parameters!$C$28*1000000</f>
        <v>108</v>
      </c>
      <c r="K31" s="16">
        <f>B31/(Parameters!$C$5*Parameters!$C$6)+D31/(Parameters!$C$5*Parameters!$C$7)+E31/(Parameters!$C$5*Parameters!$C$8)</f>
        <v>0.66088235294117648</v>
      </c>
      <c r="L31" s="16">
        <f>K31+2*A31*Parameters!$C$28/Parameters!$C$6</f>
        <v>2.820882352941176</v>
      </c>
      <c r="M31" s="12">
        <f t="shared" si="1"/>
        <v>281.58823529411762</v>
      </c>
      <c r="N31" s="12">
        <f t="shared" si="2"/>
        <v>173.58823529411762</v>
      </c>
      <c r="O31" s="12">
        <f t="shared" si="3"/>
        <v>182.8235294117647</v>
      </c>
      <c r="P31" s="12">
        <f>J31+F31+Parameters!$C$31*1000000</f>
        <v>177.18823529411762</v>
      </c>
      <c r="Q31" s="12">
        <f>Parameters!$C$6*1000000-N31</f>
        <v>-73.588235294117624</v>
      </c>
      <c r="R31" s="7">
        <f>IF(M31&lt;=Parameters!$C$6*1000000,1,0)</f>
        <v>0</v>
      </c>
      <c r="S31" s="7">
        <f>IF(N31&lt;=Parameters!$C$6*1000000,1,0)</f>
        <v>0</v>
      </c>
      <c r="T31" s="7">
        <f>IF(K31&lt;=Parameters!$C$12,1,0)</f>
        <v>1</v>
      </c>
      <c r="U31" s="16">
        <f>C31/(Parameters!$C$5*Parameters!$C$6)+D31/(Parameters!$C$5*Parameters!$C$7)+E31/(Parameters!$C$5*Parameters!$C$8)</f>
        <v>0.37195698321942483</v>
      </c>
    </row>
    <row r="32" spans="1:21" x14ac:dyDescent="0.35">
      <c r="A32" s="13">
        <v>31</v>
      </c>
      <c r="B32" s="14">
        <f>Parameters!$C$21*A32*(A32-1)+2*Parameters!$C$22*A32+Parameters!$C$23</f>
        <v>11892</v>
      </c>
      <c r="C32" s="14">
        <f t="shared" si="0"/>
        <v>6503.2034248797263</v>
      </c>
      <c r="D32" s="14">
        <f>Parameters!$C$24+Parameters!$C$25*A32</f>
        <v>789</v>
      </c>
      <c r="E32" s="14">
        <f>Parameters!$C$26</f>
        <v>800</v>
      </c>
      <c r="F32" s="12">
        <f>B32/Parameters!$C$5*1000000</f>
        <v>69.952941176470588</v>
      </c>
      <c r="G32" s="12">
        <f>D32/Parameters!$C$5*1000000</f>
        <v>4.6411764705882357</v>
      </c>
      <c r="H32" s="12">
        <f>E32/Parameters!$C$5*1000000</f>
        <v>4.7058823529411757</v>
      </c>
      <c r="I32" s="17">
        <f>2*A32*Parameters!$C$28*1000000</f>
        <v>223.2</v>
      </c>
      <c r="J32" s="17">
        <f>A32*Parameters!$C$28*1000000</f>
        <v>111.6</v>
      </c>
      <c r="K32" s="16">
        <f>B32/(Parameters!$C$5*Parameters!$C$6)+D32/(Parameters!$C$5*Parameters!$C$7)+E32/(Parameters!$C$5*Parameters!$C$8)</f>
        <v>0.70464117647058822</v>
      </c>
      <c r="L32" s="16">
        <f>K32+2*A32*Parameters!$C$28/Parameters!$C$6</f>
        <v>2.9366411764705882</v>
      </c>
      <c r="M32" s="12">
        <f t="shared" si="1"/>
        <v>293.15294117647056</v>
      </c>
      <c r="N32" s="12">
        <f t="shared" si="2"/>
        <v>181.5529411764706</v>
      </c>
      <c r="O32" s="12">
        <f t="shared" si="3"/>
        <v>190.90000000000003</v>
      </c>
      <c r="P32" s="12">
        <f>J32+F32+Parameters!$C$31*1000000</f>
        <v>185.15294117647059</v>
      </c>
      <c r="Q32" s="12">
        <f>Parameters!$C$6*1000000-N32</f>
        <v>-81.552941176470597</v>
      </c>
      <c r="R32" s="7">
        <f>IF(M32&lt;=Parameters!$C$6*1000000,1,0)</f>
        <v>0</v>
      </c>
      <c r="S32" s="7">
        <f>IF(N32&lt;=Parameters!$C$6*1000000,1,0)</f>
        <v>0</v>
      </c>
      <c r="T32" s="7">
        <f>IF(K32&lt;=Parameters!$C$12,1,0)</f>
        <v>1</v>
      </c>
      <c r="U32" s="16">
        <f>C32/(Parameters!$C$5*Parameters!$C$6)+D32/(Parameters!$C$5*Parameters!$C$7)+E32/(Parameters!$C$5*Parameters!$C$8)</f>
        <v>0.38765314263998391</v>
      </c>
    </row>
    <row r="33" spans="1:21" x14ac:dyDescent="0.35">
      <c r="A33" s="13">
        <v>32</v>
      </c>
      <c r="B33" s="14">
        <f>Parameters!$C$21*A33*(A33-1)+2*Parameters!$C$22*A33+Parameters!$C$23</f>
        <v>12658</v>
      </c>
      <c r="C33" s="14">
        <f t="shared" si="0"/>
        <v>6770</v>
      </c>
      <c r="D33" s="14">
        <f>Parameters!$C$24+Parameters!$C$25*A33</f>
        <v>808</v>
      </c>
      <c r="E33" s="14">
        <f>Parameters!$C$26</f>
        <v>800</v>
      </c>
      <c r="F33" s="12">
        <f>B33/Parameters!$C$5*1000000</f>
        <v>74.45882352941176</v>
      </c>
      <c r="G33" s="12">
        <f>D33/Parameters!$C$5*1000000</f>
        <v>4.7529411764705882</v>
      </c>
      <c r="H33" s="12">
        <f>E33/Parameters!$C$5*1000000</f>
        <v>4.7058823529411757</v>
      </c>
      <c r="I33" s="17">
        <f>2*A33*Parameters!$C$28*1000000</f>
        <v>230.39999999999998</v>
      </c>
      <c r="J33" s="17">
        <f>A33*Parameters!$C$28*1000000</f>
        <v>115.19999999999999</v>
      </c>
      <c r="K33" s="16">
        <f>B33/(Parameters!$C$5*Parameters!$C$6)+D33/(Parameters!$C$5*Parameters!$C$7)+E33/(Parameters!$C$5*Parameters!$C$8)</f>
        <v>0.7498117647058824</v>
      </c>
      <c r="L33" s="16">
        <f>K33+2*A33*Parameters!$C$28/Parameters!$C$6</f>
        <v>3.0538117647058822</v>
      </c>
      <c r="M33" s="12">
        <f t="shared" si="1"/>
        <v>304.85882352941172</v>
      </c>
      <c r="N33" s="12">
        <f t="shared" si="2"/>
        <v>189.65882352941173</v>
      </c>
      <c r="O33" s="12">
        <f t="shared" si="3"/>
        <v>199.11764705882351</v>
      </c>
      <c r="P33" s="12">
        <f>J33+F33+Parameters!$C$31*1000000</f>
        <v>193.25882352941173</v>
      </c>
      <c r="Q33" s="12">
        <f>Parameters!$C$6*1000000-N33</f>
        <v>-89.658823529411734</v>
      </c>
      <c r="R33" s="7">
        <f>IF(M33&lt;=Parameters!$C$6*1000000,1,0)</f>
        <v>0</v>
      </c>
      <c r="S33" s="7">
        <f>IF(N33&lt;=Parameters!$C$6*1000000,1,0)</f>
        <v>0</v>
      </c>
      <c r="T33" s="7">
        <f>IF(K33&lt;=Parameters!$C$12,1,0)</f>
        <v>1</v>
      </c>
      <c r="U33" s="16">
        <f>C33/(Parameters!$C$5*Parameters!$C$6)+D33/(Parameters!$C$5*Parameters!$C$7)+E33/(Parameters!$C$5*Parameters!$C$8)</f>
        <v>0.40345882352941176</v>
      </c>
    </row>
    <row r="34" spans="1:21" x14ac:dyDescent="0.35">
      <c r="A34" s="13">
        <v>33</v>
      </c>
      <c r="B34" s="14">
        <f>Parameters!$C$21*A34*(A34-1)+2*Parameters!$C$22*A34+Parameters!$C$23</f>
        <v>13448</v>
      </c>
      <c r="C34" s="14">
        <f t="shared" si="0"/>
        <v>7038.6002375531589</v>
      </c>
      <c r="D34" s="14">
        <f>Parameters!$C$24+Parameters!$C$25*A34</f>
        <v>827</v>
      </c>
      <c r="E34" s="14">
        <f>Parameters!$C$26</f>
        <v>800</v>
      </c>
      <c r="F34" s="12">
        <f>B34/Parameters!$C$5*1000000</f>
        <v>79.10588235294118</v>
      </c>
      <c r="G34" s="12">
        <f>D34/Parameters!$C$5*1000000</f>
        <v>4.8647058823529408</v>
      </c>
      <c r="H34" s="12">
        <f>E34/Parameters!$C$5*1000000</f>
        <v>4.7058823529411757</v>
      </c>
      <c r="I34" s="17">
        <f>2*A34*Parameters!$C$28*1000000</f>
        <v>237.6</v>
      </c>
      <c r="J34" s="17">
        <f>A34*Parameters!$C$28*1000000</f>
        <v>118.8</v>
      </c>
      <c r="K34" s="16">
        <f>B34/(Parameters!$C$5*Parameters!$C$6)+D34/(Parameters!$C$5*Parameters!$C$7)+E34/(Parameters!$C$5*Parameters!$C$8)</f>
        <v>0.79639411764705892</v>
      </c>
      <c r="L34" s="16">
        <f>K34+2*A34*Parameters!$C$28/Parameters!$C$6</f>
        <v>3.1723941176470589</v>
      </c>
      <c r="M34" s="12">
        <f t="shared" si="1"/>
        <v>316.70588235294116</v>
      </c>
      <c r="N34" s="12">
        <f t="shared" si="2"/>
        <v>197.90588235294118</v>
      </c>
      <c r="O34" s="12">
        <f t="shared" si="3"/>
        <v>207.47647058823532</v>
      </c>
      <c r="P34" s="12">
        <f>J34+F34+Parameters!$C$31*1000000</f>
        <v>201.50588235294117</v>
      </c>
      <c r="Q34" s="12">
        <f>Parameters!$C$6*1000000-N34</f>
        <v>-97.905882352941177</v>
      </c>
      <c r="R34" s="7">
        <f>IF(M34&lt;=Parameters!$C$6*1000000,1,0)</f>
        <v>0</v>
      </c>
      <c r="S34" s="7">
        <f>IF(N34&lt;=Parameters!$C$6*1000000,1,0)</f>
        <v>0</v>
      </c>
      <c r="T34" s="7">
        <f>IF(K34&lt;=Parameters!$C$12,1,0)</f>
        <v>1</v>
      </c>
      <c r="U34" s="16">
        <f>C34/(Parameters!$C$5*Parameters!$C$6)+D34/(Parameters!$C$5*Parameters!$C$7)+E34/(Parameters!$C$5*Parameters!$C$8)</f>
        <v>0.41937060220900935</v>
      </c>
    </row>
    <row r="35" spans="1:21" x14ac:dyDescent="0.35">
      <c r="A35" s="13">
        <v>34</v>
      </c>
      <c r="B35" s="14">
        <f>Parameters!$C$21*A35*(A35-1)+2*Parameters!$C$22*A35+Parameters!$C$23</f>
        <v>14262</v>
      </c>
      <c r="C35" s="14">
        <f t="shared" si="0"/>
        <v>7308.9494641004621</v>
      </c>
      <c r="D35" s="14">
        <f>Parameters!$C$24+Parameters!$C$25*A35</f>
        <v>846</v>
      </c>
      <c r="E35" s="14">
        <f>Parameters!$C$26</f>
        <v>800</v>
      </c>
      <c r="F35" s="12">
        <f>B35/Parameters!$C$5*1000000</f>
        <v>83.89411764705882</v>
      </c>
      <c r="G35" s="12">
        <f>D35/Parameters!$C$5*1000000</f>
        <v>4.9764705882352942</v>
      </c>
      <c r="H35" s="12">
        <f>E35/Parameters!$C$5*1000000</f>
        <v>4.7058823529411757</v>
      </c>
      <c r="I35" s="17">
        <f>2*A35*Parameters!$C$28*1000000</f>
        <v>244.79999999999998</v>
      </c>
      <c r="J35" s="17">
        <f>A35*Parameters!$C$28*1000000</f>
        <v>122.39999999999999</v>
      </c>
      <c r="K35" s="16">
        <f>B35/(Parameters!$C$5*Parameters!$C$6)+D35/(Parameters!$C$5*Parameters!$C$7)+E35/(Parameters!$C$5*Parameters!$C$8)</f>
        <v>0.84438823529411755</v>
      </c>
      <c r="L35" s="16">
        <f>K35+2*A35*Parameters!$C$28/Parameters!$C$6</f>
        <v>3.2923882352941174</v>
      </c>
      <c r="M35" s="12">
        <f t="shared" si="1"/>
        <v>328.69411764705882</v>
      </c>
      <c r="N35" s="12">
        <f t="shared" si="2"/>
        <v>206.29411764705881</v>
      </c>
      <c r="O35" s="12">
        <f t="shared" si="3"/>
        <v>215.97647058823529</v>
      </c>
      <c r="P35" s="12">
        <f>J35+F35+Parameters!$C$31*1000000</f>
        <v>209.89411764705881</v>
      </c>
      <c r="Q35" s="12">
        <f>Parameters!$C$6*1000000-N35</f>
        <v>-106.29411764705881</v>
      </c>
      <c r="R35" s="7">
        <f>IF(M35&lt;=Parameters!$C$6*1000000,1,0)</f>
        <v>0</v>
      </c>
      <c r="S35" s="7">
        <f>IF(N35&lt;=Parameters!$C$6*1000000,1,0)</f>
        <v>0</v>
      </c>
      <c r="T35" s="7">
        <f>IF(K35&lt;=Parameters!$C$12,1,0)</f>
        <v>1</v>
      </c>
      <c r="U35" s="16">
        <f>C35/(Parameters!$C$5*Parameters!$C$6)+D35/(Parameters!$C$5*Parameters!$C$7)+E35/(Parameters!$C$5*Parameters!$C$8)</f>
        <v>0.43538526259414484</v>
      </c>
    </row>
    <row r="36" spans="1:21" x14ac:dyDescent="0.35">
      <c r="A36" s="13">
        <v>35</v>
      </c>
      <c r="B36" s="14">
        <f>Parameters!$C$21*A36*(A36-1)+2*Parameters!$C$22*A36+Parameters!$C$23</f>
        <v>15100</v>
      </c>
      <c r="C36" s="14">
        <f t="shared" si="0"/>
        <v>7580.9962237229529</v>
      </c>
      <c r="D36" s="14">
        <f>Parameters!$C$24+Parameters!$C$25*A36</f>
        <v>865</v>
      </c>
      <c r="E36" s="14">
        <f>Parameters!$C$26</f>
        <v>800</v>
      </c>
      <c r="F36" s="12">
        <f>B36/Parameters!$C$5*1000000</f>
        <v>88.82352941176471</v>
      </c>
      <c r="G36" s="12">
        <f>D36/Parameters!$C$5*1000000</f>
        <v>5.0882352941176467</v>
      </c>
      <c r="H36" s="12">
        <f>E36/Parameters!$C$5*1000000</f>
        <v>4.7058823529411757</v>
      </c>
      <c r="I36" s="17">
        <f>2*A36*Parameters!$C$28*1000000</f>
        <v>252</v>
      </c>
      <c r="J36" s="17">
        <f>A36*Parameters!$C$28*1000000</f>
        <v>126</v>
      </c>
      <c r="K36" s="16">
        <f>B36/(Parameters!$C$5*Parameters!$C$6)+D36/(Parameters!$C$5*Parameters!$C$7)+E36/(Parameters!$C$5*Parameters!$C$8)</f>
        <v>0.89379411764705874</v>
      </c>
      <c r="L36" s="16">
        <f>K36+2*A36*Parameters!$C$28/Parameters!$C$6</f>
        <v>3.4137941176470585</v>
      </c>
      <c r="M36" s="12">
        <f t="shared" si="1"/>
        <v>340.8235294117647</v>
      </c>
      <c r="N36" s="12">
        <f t="shared" si="2"/>
        <v>214.8235294117647</v>
      </c>
      <c r="O36" s="12">
        <f t="shared" si="3"/>
        <v>224.61764705882354</v>
      </c>
      <c r="P36" s="12">
        <f>J36+F36+Parameters!$C$31*1000000</f>
        <v>218.42352941176469</v>
      </c>
      <c r="Q36" s="12">
        <f>Parameters!$C$6*1000000-N36</f>
        <v>-114.8235294117647</v>
      </c>
      <c r="R36" s="7">
        <f>IF(M36&lt;=Parameters!$C$6*1000000,1,0)</f>
        <v>0</v>
      </c>
      <c r="S36" s="7">
        <f>IF(N36&lt;=Parameters!$C$6*1000000,1,0)</f>
        <v>0</v>
      </c>
      <c r="T36" s="7">
        <f>IF(K36&lt;=Parameters!$C$12,1,0)</f>
        <v>1</v>
      </c>
      <c r="U36" s="16">
        <f>C36/(Parameters!$C$5*Parameters!$C$6)+D36/(Parameters!$C$5*Parameters!$C$7)+E36/(Parameters!$C$5*Parameters!$C$8)</f>
        <v>0.45149977786605605</v>
      </c>
    </row>
    <row r="37" spans="1:21" x14ac:dyDescent="0.35">
      <c r="A37" s="13">
        <v>36</v>
      </c>
      <c r="B37" s="14">
        <f>Parameters!$C$21*A37*(A37-1)+2*Parameters!$C$22*A37+Parameters!$C$23</f>
        <v>15962</v>
      </c>
      <c r="C37" s="14">
        <f t="shared" si="0"/>
        <v>7854.6920020769294</v>
      </c>
      <c r="D37" s="14">
        <f>Parameters!$C$24+Parameters!$C$25*A37</f>
        <v>884</v>
      </c>
      <c r="E37" s="14">
        <f>Parameters!$C$26</f>
        <v>800</v>
      </c>
      <c r="F37" s="12">
        <f>B37/Parameters!$C$5*1000000</f>
        <v>93.89411764705882</v>
      </c>
      <c r="G37" s="12">
        <f>D37/Parameters!$C$5*1000000</f>
        <v>5.2</v>
      </c>
      <c r="H37" s="12">
        <f>E37/Parameters!$C$5*1000000</f>
        <v>4.7058823529411757</v>
      </c>
      <c r="I37" s="17">
        <f>2*A37*Parameters!$C$28*1000000</f>
        <v>259.2</v>
      </c>
      <c r="J37" s="17">
        <f>A37*Parameters!$C$28*1000000</f>
        <v>129.6</v>
      </c>
      <c r="K37" s="16">
        <f>B37/(Parameters!$C$5*Parameters!$C$6)+D37/(Parameters!$C$5*Parameters!$C$7)+E37/(Parameters!$C$5*Parameters!$C$8)</f>
        <v>0.94461176470588237</v>
      </c>
      <c r="L37" s="16">
        <f>K37+2*A37*Parameters!$C$28/Parameters!$C$6</f>
        <v>3.5366117647058823</v>
      </c>
      <c r="M37" s="12">
        <f t="shared" si="1"/>
        <v>353.09411764705879</v>
      </c>
      <c r="N37" s="12">
        <f t="shared" si="2"/>
        <v>223.49411764705883</v>
      </c>
      <c r="O37" s="12">
        <f t="shared" si="3"/>
        <v>233.4</v>
      </c>
      <c r="P37" s="12">
        <f>J37+F37+Parameters!$C$31*1000000</f>
        <v>227.09411764705882</v>
      </c>
      <c r="Q37" s="12">
        <f>Parameters!$C$6*1000000-N37</f>
        <v>-123.49411764705883</v>
      </c>
      <c r="R37" s="7">
        <f>IF(M37&lt;=Parameters!$C$6*1000000,1,0)</f>
        <v>0</v>
      </c>
      <c r="S37" s="7">
        <f>IF(N37&lt;=Parameters!$C$6*1000000,1,0)</f>
        <v>0</v>
      </c>
      <c r="T37" s="7">
        <f>IF(K37&lt;=Parameters!$C$12,1,0)</f>
        <v>1</v>
      </c>
      <c r="U37" s="16">
        <f>C37/(Parameters!$C$5*Parameters!$C$6)+D37/(Parameters!$C$5*Parameters!$C$7)+E37/(Parameters!$C$5*Parameters!$C$8)</f>
        <v>0.46771129423981933</v>
      </c>
    </row>
    <row r="38" spans="1:21" x14ac:dyDescent="0.35">
      <c r="A38" s="13">
        <v>37</v>
      </c>
      <c r="B38" s="14">
        <f>Parameters!$C$21*A38*(A38-1)+2*Parameters!$C$22*A38+Parameters!$C$23</f>
        <v>16848</v>
      </c>
      <c r="C38" s="14">
        <f t="shared" si="0"/>
        <v>8129.9909811308462</v>
      </c>
      <c r="D38" s="14">
        <f>Parameters!$C$24+Parameters!$C$25*A38</f>
        <v>903</v>
      </c>
      <c r="E38" s="14">
        <f>Parameters!$C$26</f>
        <v>800</v>
      </c>
      <c r="F38" s="12">
        <f>B38/Parameters!$C$5*1000000</f>
        <v>99.10588235294118</v>
      </c>
      <c r="G38" s="12">
        <f>D38/Parameters!$C$5*1000000</f>
        <v>5.3117647058823536</v>
      </c>
      <c r="H38" s="12">
        <f>E38/Parameters!$C$5*1000000</f>
        <v>4.7058823529411757</v>
      </c>
      <c r="I38" s="17">
        <f>2*A38*Parameters!$C$28*1000000</f>
        <v>266.39999999999998</v>
      </c>
      <c r="J38" s="17">
        <f>A38*Parameters!$C$28*1000000</f>
        <v>133.19999999999999</v>
      </c>
      <c r="K38" s="16">
        <f>B38/(Parameters!$C$5*Parameters!$C$6)+D38/(Parameters!$C$5*Parameters!$C$7)+E38/(Parameters!$C$5*Parameters!$C$8)</f>
        <v>0.99684117647058823</v>
      </c>
      <c r="L38" s="16">
        <f>K38+2*A38*Parameters!$C$28/Parameters!$C$6</f>
        <v>3.6608411764705879</v>
      </c>
      <c r="M38" s="12">
        <f t="shared" si="1"/>
        <v>365.50588235294117</v>
      </c>
      <c r="N38" s="12">
        <f t="shared" si="2"/>
        <v>232.30588235294118</v>
      </c>
      <c r="O38" s="12">
        <f t="shared" si="3"/>
        <v>242.32352941176472</v>
      </c>
      <c r="P38" s="12">
        <f>J38+F38+Parameters!$C$31*1000000</f>
        <v>235.90588235294118</v>
      </c>
      <c r="Q38" s="12">
        <f>Parameters!$C$6*1000000-N38</f>
        <v>-132.30588235294118</v>
      </c>
      <c r="R38" s="7">
        <f>IF(M38&lt;=Parameters!$C$6*1000000,1,0)</f>
        <v>0</v>
      </c>
      <c r="S38" s="7">
        <f>IF(N38&lt;=Parameters!$C$6*1000000,1,0)</f>
        <v>0</v>
      </c>
      <c r="T38" s="7">
        <f>IF(K38&lt;=Parameters!$C$12,1,0)</f>
        <v>1</v>
      </c>
      <c r="U38" s="16">
        <f>C38/(Parameters!$C$5*Parameters!$C$6)+D38/(Parameters!$C$5*Parameters!$C$7)+E38/(Parameters!$C$5*Parameters!$C$8)</f>
        <v>0.4840171165371086</v>
      </c>
    </row>
    <row r="39" spans="1:21" x14ac:dyDescent="0.35">
      <c r="A39" s="13">
        <v>38</v>
      </c>
      <c r="B39" s="14">
        <f>Parameters!$C$21*A39*(A39-1)+2*Parameters!$C$22*A39+Parameters!$C$23</f>
        <v>17758</v>
      </c>
      <c r="C39" s="14">
        <f t="shared" si="0"/>
        <v>8406.8498204342504</v>
      </c>
      <c r="D39" s="14">
        <f>Parameters!$C$24+Parameters!$C$25*A39</f>
        <v>922</v>
      </c>
      <c r="E39" s="14">
        <f>Parameters!$C$26</f>
        <v>800</v>
      </c>
      <c r="F39" s="12">
        <f>B39/Parameters!$C$5*1000000</f>
        <v>104.45882352941176</v>
      </c>
      <c r="G39" s="12">
        <f>D39/Parameters!$C$5*1000000</f>
        <v>5.4235294117647053</v>
      </c>
      <c r="H39" s="12">
        <f>E39/Parameters!$C$5*1000000</f>
        <v>4.7058823529411757</v>
      </c>
      <c r="I39" s="17">
        <f>2*A39*Parameters!$C$28*1000000</f>
        <v>273.59999999999997</v>
      </c>
      <c r="J39" s="17">
        <f>A39*Parameters!$C$28*1000000</f>
        <v>136.79999999999998</v>
      </c>
      <c r="K39" s="16">
        <f>B39/(Parameters!$C$5*Parameters!$C$6)+D39/(Parameters!$C$5*Parameters!$C$7)+E39/(Parameters!$C$5*Parameters!$C$8)</f>
        <v>1.0504823529411764</v>
      </c>
      <c r="L39" s="16">
        <f>K39+2*A39*Parameters!$C$28/Parameters!$C$6</f>
        <v>3.7864823529411762</v>
      </c>
      <c r="M39" s="12">
        <f t="shared" si="1"/>
        <v>378.05882352941171</v>
      </c>
      <c r="N39" s="12">
        <f t="shared" si="2"/>
        <v>241.25882352941176</v>
      </c>
      <c r="O39" s="12">
        <f t="shared" si="3"/>
        <v>251.38823529411766</v>
      </c>
      <c r="P39" s="12">
        <f>J39+F39+Parameters!$C$31*1000000</f>
        <v>244.85882352941175</v>
      </c>
      <c r="Q39" s="12">
        <f>Parameters!$C$6*1000000-N39</f>
        <v>-141.25882352941176</v>
      </c>
      <c r="R39" s="7">
        <f>IF(M39&lt;=Parameters!$C$6*1000000,1,0)</f>
        <v>0</v>
      </c>
      <c r="S39" s="7">
        <f>IF(N39&lt;=Parameters!$C$6*1000000,1,0)</f>
        <v>0</v>
      </c>
      <c r="T39" s="7">
        <f>IF(K39&lt;=Parameters!$C$12,1,0)</f>
        <v>0</v>
      </c>
      <c r="U39" s="16">
        <f>C39/(Parameters!$C$5*Parameters!$C$6)+D39/(Parameters!$C$5*Parameters!$C$7)+E39/(Parameters!$C$5*Parameters!$C$8)</f>
        <v>0.50041469531966187</v>
      </c>
    </row>
    <row r="40" spans="1:21" x14ac:dyDescent="0.35">
      <c r="A40" s="13">
        <v>39</v>
      </c>
      <c r="B40" s="14">
        <f>Parameters!$C$21*A40*(A40-1)+2*Parameters!$C$22*A40+Parameters!$C$23</f>
        <v>18692</v>
      </c>
      <c r="C40" s="14">
        <f t="shared" si="0"/>
        <v>8685.2274614251073</v>
      </c>
      <c r="D40" s="14">
        <f>Parameters!$C$24+Parameters!$C$25*A40</f>
        <v>941</v>
      </c>
      <c r="E40" s="14">
        <f>Parameters!$C$26</f>
        <v>800</v>
      </c>
      <c r="F40" s="12">
        <f>B40/Parameters!$C$5*1000000</f>
        <v>109.95294117647059</v>
      </c>
      <c r="G40" s="12">
        <f>D40/Parameters!$C$5*1000000</f>
        <v>5.5352941176470587</v>
      </c>
      <c r="H40" s="12">
        <f>E40/Parameters!$C$5*1000000</f>
        <v>4.7058823529411757</v>
      </c>
      <c r="I40" s="17">
        <f>2*A40*Parameters!$C$28*1000000</f>
        <v>280.8</v>
      </c>
      <c r="J40" s="17">
        <f>A40*Parameters!$C$28*1000000</f>
        <v>140.4</v>
      </c>
      <c r="K40" s="16">
        <f>B40/(Parameters!$C$5*Parameters!$C$6)+D40/(Parameters!$C$5*Parameters!$C$7)+E40/(Parameters!$C$5*Parameters!$C$8)</f>
        <v>1.1055352941176471</v>
      </c>
      <c r="L40" s="16">
        <f>K40+2*A40*Parameters!$C$28/Parameters!$C$6</f>
        <v>3.9135352941176471</v>
      </c>
      <c r="M40" s="12">
        <f t="shared" si="1"/>
        <v>390.75294117647059</v>
      </c>
      <c r="N40" s="12">
        <f t="shared" si="2"/>
        <v>250.35294117647061</v>
      </c>
      <c r="O40" s="12">
        <f t="shared" si="3"/>
        <v>260.59411764705885</v>
      </c>
      <c r="P40" s="12">
        <f>J40+F40+Parameters!$C$31*1000000</f>
        <v>253.9529411764706</v>
      </c>
      <c r="Q40" s="12">
        <f>Parameters!$C$6*1000000-N40</f>
        <v>-150.35294117647061</v>
      </c>
      <c r="R40" s="7">
        <f>IF(M40&lt;=Parameters!$C$6*1000000,1,0)</f>
        <v>0</v>
      </c>
      <c r="S40" s="7">
        <f>IF(N40&lt;=Parameters!$C$6*1000000,1,0)</f>
        <v>0</v>
      </c>
      <c r="T40" s="7">
        <f>IF(K40&lt;=Parameters!$C$12,1,0)</f>
        <v>0</v>
      </c>
      <c r="U40" s="16">
        <f>C40/(Parameters!$C$5*Parameters!$C$6)+D40/(Parameters!$C$5*Parameters!$C$7)+E40/(Parameters!$C$5*Parameters!$C$8)</f>
        <v>0.51690161537794754</v>
      </c>
    </row>
    <row r="41" spans="1:21" x14ac:dyDescent="0.35">
      <c r="A41" s="13">
        <v>40</v>
      </c>
      <c r="B41" s="14">
        <f>Parameters!$C$21*A41*(A41-1)+2*Parameters!$C$22*A41+Parameters!$C$23</f>
        <v>19650</v>
      </c>
      <c r="C41" s="14">
        <f t="shared" si="0"/>
        <v>8965.0849518197811</v>
      </c>
      <c r="D41" s="14">
        <f>Parameters!$C$24+Parameters!$C$25*A41</f>
        <v>960</v>
      </c>
      <c r="E41" s="14">
        <f>Parameters!$C$26</f>
        <v>800</v>
      </c>
      <c r="F41" s="12">
        <f>B41/Parameters!$C$5*1000000</f>
        <v>115.58823529411765</v>
      </c>
      <c r="G41" s="12">
        <f>D41/Parameters!$C$5*1000000</f>
        <v>5.6470588235294112</v>
      </c>
      <c r="H41" s="12">
        <f>E41/Parameters!$C$5*1000000</f>
        <v>4.7058823529411757</v>
      </c>
      <c r="I41" s="17">
        <f>2*A41*Parameters!$C$28*1000000</f>
        <v>288</v>
      </c>
      <c r="J41" s="17">
        <f>A41*Parameters!$C$28*1000000</f>
        <v>144</v>
      </c>
      <c r="K41" s="16">
        <f>B41/(Parameters!$C$5*Parameters!$C$6)+D41/(Parameters!$C$5*Parameters!$C$7)+E41/(Parameters!$C$5*Parameters!$C$8)</f>
        <v>1.1619999999999999</v>
      </c>
      <c r="L41" s="16">
        <f>K41+2*A41*Parameters!$C$28/Parameters!$C$6</f>
        <v>4.0419999999999998</v>
      </c>
      <c r="M41" s="12">
        <f t="shared" si="1"/>
        <v>403.58823529411768</v>
      </c>
      <c r="N41" s="12">
        <f t="shared" si="2"/>
        <v>259.58823529411768</v>
      </c>
      <c r="O41" s="12">
        <f t="shared" si="3"/>
        <v>269.94117647058823</v>
      </c>
      <c r="P41" s="12">
        <f>J41+F41+Parameters!$C$31*1000000</f>
        <v>263.1882352941177</v>
      </c>
      <c r="Q41" s="12">
        <f>Parameters!$C$6*1000000-N41</f>
        <v>-159.58823529411768</v>
      </c>
      <c r="R41" s="7">
        <f>IF(M41&lt;=Parameters!$C$6*1000000,1,0)</f>
        <v>0</v>
      </c>
      <c r="S41" s="7">
        <f>IF(N41&lt;=Parameters!$C$6*1000000,1,0)</f>
        <v>0</v>
      </c>
      <c r="T41" s="7">
        <f>IF(K41&lt;=Parameters!$C$12,1,0)</f>
        <v>0</v>
      </c>
      <c r="U41" s="16">
        <f>C41/(Parameters!$C$5*Parameters!$C$6)+D41/(Parameters!$C$5*Parameters!$C$7)+E41/(Parameters!$C$5*Parameters!$C$8)</f>
        <v>0.53347558540116358</v>
      </c>
    </row>
    <row r="42" spans="1:21" x14ac:dyDescent="0.35">
      <c r="A42" s="13">
        <v>48</v>
      </c>
      <c r="B42" s="14">
        <f>Parameters!$C$21*A42*(A42-1)+2*Parameters!$C$22*A42+Parameters!$C$23</f>
        <v>28178</v>
      </c>
      <c r="C42" s="14">
        <f t="shared" si="0"/>
        <v>11253.128001384621</v>
      </c>
      <c r="D42" s="14">
        <f>Parameters!$C$24+Parameters!$C$25*A42</f>
        <v>1112</v>
      </c>
      <c r="E42" s="14">
        <f>Parameters!$C$26</f>
        <v>800</v>
      </c>
      <c r="F42" s="12">
        <f>B42/Parameters!$C$5*1000000</f>
        <v>165.75294117647059</v>
      </c>
      <c r="G42" s="12">
        <f>D42/Parameters!$C$5*1000000</f>
        <v>6.5411764705882351</v>
      </c>
      <c r="H42" s="12">
        <f>E42/Parameters!$C$5*1000000</f>
        <v>4.7058823529411757</v>
      </c>
      <c r="I42" s="17">
        <f>2*A42*Parameters!$C$28*1000000</f>
        <v>345.6</v>
      </c>
      <c r="J42" s="17">
        <f>A42*Parameters!$C$28*1000000</f>
        <v>172.8</v>
      </c>
      <c r="K42" s="16">
        <f>B42/(Parameters!$C$5*Parameters!$C$6)+D42/(Parameters!$C$5*Parameters!$C$7)+E42/(Parameters!$C$5*Parameters!$C$8)</f>
        <v>1.6645411764705884</v>
      </c>
      <c r="L42" s="16">
        <f>K42+2*A42*Parameters!$C$28/Parameters!$C$6</f>
        <v>5.1205411764705886</v>
      </c>
      <c r="M42" s="12">
        <f t="shared" si="1"/>
        <v>511.35294117647061</v>
      </c>
      <c r="N42" s="12">
        <f t="shared" si="2"/>
        <v>338.5529411764706</v>
      </c>
      <c r="O42" s="12">
        <f t="shared" si="3"/>
        <v>349.8</v>
      </c>
      <c r="P42" s="12">
        <f>J42+F42+Parameters!$C$31*1000000</f>
        <v>342.15294117647062</v>
      </c>
      <c r="Q42" s="12">
        <f>Parameters!$C$6*1000000-N42</f>
        <v>-238.5529411764706</v>
      </c>
      <c r="R42" s="7">
        <f>IF(M42&lt;=Parameters!$C$6*1000000,1,0)</f>
        <v>0</v>
      </c>
      <c r="S42" s="7">
        <f>IF(N42&lt;=Parameters!$C$6*1000000,1,0)</f>
        <v>0</v>
      </c>
      <c r="T42" s="7">
        <f>IF(K42&lt;=Parameters!$C$12,1,0)</f>
        <v>0</v>
      </c>
      <c r="U42" s="16">
        <f>C42/(Parameters!$C$5*Parameters!$C$6)+D42/(Parameters!$C$5*Parameters!$C$7)+E42/(Parameters!$C$5*Parameters!$C$8)</f>
        <v>0.66896047066968356</v>
      </c>
    </row>
    <row r="43" spans="1:21" x14ac:dyDescent="0.35">
      <c r="A43" s="13">
        <v>64</v>
      </c>
      <c r="B43" s="14">
        <f>Parameters!$C$21*A43*(A43-1)+2*Parameters!$C$22*A43+Parameters!$C$23</f>
        <v>49842</v>
      </c>
      <c r="C43" s="14">
        <f t="shared" si="0"/>
        <v>16050</v>
      </c>
      <c r="D43" s="14">
        <f>Parameters!$C$24+Parameters!$C$25*A43</f>
        <v>1416</v>
      </c>
      <c r="E43" s="14">
        <f>Parameters!$C$26</f>
        <v>800</v>
      </c>
      <c r="F43" s="12">
        <f>B43/Parameters!$C$5*1000000</f>
        <v>293.18823529411765</v>
      </c>
      <c r="G43" s="12">
        <f>D43/Parameters!$C$5*1000000</f>
        <v>8.3294117647058812</v>
      </c>
      <c r="H43" s="12">
        <f>E43/Parameters!$C$5*1000000</f>
        <v>4.7058823529411757</v>
      </c>
      <c r="I43" s="17">
        <f>2*A43*Parameters!$C$28*1000000</f>
        <v>460.79999999999995</v>
      </c>
      <c r="J43" s="17">
        <f>A43*Parameters!$C$28*1000000</f>
        <v>230.39999999999998</v>
      </c>
      <c r="K43" s="16">
        <f>B43/(Parameters!$C$5*Parameters!$C$6)+D43/(Parameters!$C$5*Parameters!$C$7)+E43/(Parameters!$C$5*Parameters!$C$8)</f>
        <v>2.9406823529411765</v>
      </c>
      <c r="L43" s="16">
        <f>K43+2*A43*Parameters!$C$28/Parameters!$C$6</f>
        <v>7.5486823529411762</v>
      </c>
      <c r="M43" s="12">
        <f t="shared" si="1"/>
        <v>753.98823529411766</v>
      </c>
      <c r="N43" s="12">
        <f t="shared" si="2"/>
        <v>523.58823529411757</v>
      </c>
      <c r="O43" s="12">
        <f t="shared" si="3"/>
        <v>536.62352941176471</v>
      </c>
      <c r="P43" s="12">
        <f>J43+F43+Parameters!$C$31*1000000</f>
        <v>527.18823529411759</v>
      </c>
      <c r="Q43" s="12">
        <f>Parameters!$C$6*1000000-N43</f>
        <v>-423.58823529411757</v>
      </c>
      <c r="R43" s="7">
        <f>IF(M43&lt;=Parameters!$C$6*1000000,1,0)</f>
        <v>0</v>
      </c>
      <c r="S43" s="7">
        <f>IF(N43&lt;=Parameters!$C$6*1000000,1,0)</f>
        <v>0</v>
      </c>
      <c r="T43" s="7">
        <f>IF(K43&lt;=Parameters!$C$12,1,0)</f>
        <v>0</v>
      </c>
      <c r="U43" s="16">
        <f>C43/(Parameters!$C$5*Parameters!$C$6)+D43/(Parameters!$C$5*Parameters!$C$7)+E43/(Parameters!$C$5*Parameters!$C$8)</f>
        <v>0.95291764705882354</v>
      </c>
    </row>
    <row r="44" spans="1:21" x14ac:dyDescent="0.35">
      <c r="A44" s="13">
        <v>96</v>
      </c>
      <c r="B44" s="14">
        <f>Parameters!$C$21*A44*(A44-1)+2*Parameters!$C$22*A44+Parameters!$C$23</f>
        <v>111602</v>
      </c>
      <c r="C44" s="14">
        <f t="shared" si="0"/>
        <v>26296.256002769238</v>
      </c>
      <c r="D44" s="14">
        <f>Parameters!$C$24+Parameters!$C$25*A44</f>
        <v>2024</v>
      </c>
      <c r="E44" s="14">
        <f>Parameters!$C$26</f>
        <v>800</v>
      </c>
      <c r="F44" s="12">
        <f>B44/Parameters!$C$5*1000000</f>
        <v>656.48235294117649</v>
      </c>
      <c r="G44" s="12">
        <f>D44/Parameters!$C$5*1000000</f>
        <v>11.905882352941177</v>
      </c>
      <c r="H44" s="12">
        <f>E44/Parameters!$C$5*1000000</f>
        <v>4.7058823529411757</v>
      </c>
      <c r="I44" s="17">
        <f>2*A44*Parameters!$C$28*1000000</f>
        <v>691.2</v>
      </c>
      <c r="J44" s="17">
        <f>A44*Parameters!$C$28*1000000</f>
        <v>345.6</v>
      </c>
      <c r="K44" s="16">
        <f>B44/(Parameters!$C$5*Parameters!$C$6)+D44/(Parameters!$C$5*Parameters!$C$7)+E44/(Parameters!$C$5*Parameters!$C$8)</f>
        <v>6.5772000000000004</v>
      </c>
      <c r="L44" s="16">
        <f>K44+2*A44*Parameters!$C$28/Parameters!$C$6</f>
        <v>13.4892</v>
      </c>
      <c r="M44" s="12">
        <f t="shared" si="1"/>
        <v>1347.6823529411765</v>
      </c>
      <c r="N44" s="12">
        <f t="shared" si="2"/>
        <v>1002.0823529411765</v>
      </c>
      <c r="O44" s="12">
        <f t="shared" si="3"/>
        <v>1018.6941176470589</v>
      </c>
      <c r="P44" s="12">
        <f>J44+F44+Parameters!$C$31*1000000</f>
        <v>1005.6823529411765</v>
      </c>
      <c r="Q44" s="12">
        <f>Parameters!$C$6*1000000-N44</f>
        <v>-902.08235294117651</v>
      </c>
      <c r="R44" s="7">
        <f>IF(M44&lt;=Parameters!$C$6*1000000,1,0)</f>
        <v>0</v>
      </c>
      <c r="S44" s="7">
        <f>IF(N44&lt;=Parameters!$C$6*1000000,1,0)</f>
        <v>0</v>
      </c>
      <c r="T44" s="7">
        <f>IF(K44&lt;=Parameters!$C$12,1,0)</f>
        <v>0</v>
      </c>
      <c r="U44" s="16">
        <f>C44/(Parameters!$C$5*Parameters!$C$6)+D44/(Parameters!$C$5*Parameters!$C$7)+E44/(Parameters!$C$5*Parameters!$C$8)</f>
        <v>1.559215058986426</v>
      </c>
    </row>
    <row r="45" spans="1:21" x14ac:dyDescent="0.35">
      <c r="A45" s="13">
        <v>128</v>
      </c>
      <c r="B45" s="14">
        <f>Parameters!$C$21*A45*(A45-1)+2*Parameters!$C$22*A45+Parameters!$C$23</f>
        <v>197938</v>
      </c>
      <c r="C45" s="14">
        <f t="shared" si="0"/>
        <v>37170</v>
      </c>
      <c r="D45" s="14">
        <f>Parameters!$C$24+Parameters!$C$25*A45</f>
        <v>2632</v>
      </c>
      <c r="E45" s="14">
        <f>Parameters!$C$26</f>
        <v>800</v>
      </c>
      <c r="F45" s="12">
        <f>B45/Parameters!$C$5*1000000</f>
        <v>1164.3411764705884</v>
      </c>
      <c r="G45" s="12">
        <f>D45/Parameters!$C$5*1000000</f>
        <v>15.482352941176469</v>
      </c>
      <c r="H45" s="12">
        <f>E45/Parameters!$C$5*1000000</f>
        <v>4.7058823529411757</v>
      </c>
      <c r="I45" s="17">
        <f>2*A45*Parameters!$C$28*1000000</f>
        <v>921.59999999999991</v>
      </c>
      <c r="J45" s="17">
        <f>A45*Parameters!$C$28*1000000</f>
        <v>460.79999999999995</v>
      </c>
      <c r="K45" s="16">
        <f>B45/(Parameters!$C$5*Parameters!$C$6)+D45/(Parameters!$C$5*Parameters!$C$7)+E45/(Parameters!$C$5*Parameters!$C$8)</f>
        <v>11.659364705882354</v>
      </c>
      <c r="L45" s="16">
        <f>K45+2*A45*Parameters!$C$28/Parameters!$C$6</f>
        <v>20.875364705882355</v>
      </c>
      <c r="M45" s="12">
        <f t="shared" si="1"/>
        <v>2085.9411764705883</v>
      </c>
      <c r="N45" s="12">
        <f t="shared" si="2"/>
        <v>1625.1411764705883</v>
      </c>
      <c r="O45" s="12">
        <f t="shared" si="3"/>
        <v>1645.329411764706</v>
      </c>
      <c r="P45" s="12">
        <f>J45+F45+Parameters!$C$31*1000000</f>
        <v>1628.7411764705882</v>
      </c>
      <c r="Q45" s="12">
        <f>Parameters!$C$6*1000000-N45</f>
        <v>-1525.1411764705883</v>
      </c>
      <c r="R45" s="7">
        <f>IF(M45&lt;=Parameters!$C$6*1000000,1,0)</f>
        <v>0</v>
      </c>
      <c r="S45" s="7">
        <f>IF(N45&lt;=Parameters!$C$6*1000000,1,0)</f>
        <v>0</v>
      </c>
      <c r="T45" s="7">
        <f>IF(K45&lt;=Parameters!$C$12,1,0)</f>
        <v>0</v>
      </c>
      <c r="U45" s="16">
        <f>C45/(Parameters!$C$5*Parameters!$C$6)+D45/(Parameters!$C$5*Parameters!$C$7)+E45/(Parameters!$C$5*Parameters!$C$8)</f>
        <v>2.2024235294117647</v>
      </c>
    </row>
    <row r="46" spans="1:21" x14ac:dyDescent="0.35">
      <c r="A46" s="13">
        <v>192</v>
      </c>
      <c r="B46" s="14">
        <f>Parameters!$C$21*A46*(A46-1)+2*Parameters!$C$22*A46+Parameters!$C$23</f>
        <v>444338</v>
      </c>
      <c r="C46" s="14">
        <f t="shared" si="0"/>
        <v>60222.512005538476</v>
      </c>
      <c r="D46" s="14">
        <f>Parameters!$C$24+Parameters!$C$25*A46</f>
        <v>3848</v>
      </c>
      <c r="E46" s="14">
        <f>Parameters!$C$26</f>
        <v>800</v>
      </c>
      <c r="F46" s="12">
        <f>B46/Parameters!$C$5*1000000</f>
        <v>2613.7529411764704</v>
      </c>
      <c r="G46" s="12">
        <f>D46/Parameters!$C$5*1000000</f>
        <v>22.63529411764706</v>
      </c>
      <c r="H46" s="12">
        <f>E46/Parameters!$C$5*1000000</f>
        <v>4.7058823529411757</v>
      </c>
      <c r="I46" s="17">
        <f>2*A46*Parameters!$C$28*1000000</f>
        <v>1382.4</v>
      </c>
      <c r="J46" s="17">
        <f>A46*Parameters!$C$28*1000000</f>
        <v>691.2</v>
      </c>
      <c r="K46" s="16">
        <f>B46/(Parameters!$C$5*Parameters!$C$6)+D46/(Parameters!$C$5*Parameters!$C$7)+E46/(Parameters!$C$5*Parameters!$C$8)</f>
        <v>26.16063529411765</v>
      </c>
      <c r="L46" s="16">
        <f>K46+2*A46*Parameters!$C$28/Parameters!$C$6</f>
        <v>39.984635294117652</v>
      </c>
      <c r="M46" s="12">
        <f t="shared" si="1"/>
        <v>3996.1529411764704</v>
      </c>
      <c r="N46" s="12">
        <f t="shared" si="2"/>
        <v>3304.9529411764706</v>
      </c>
      <c r="O46" s="12">
        <f t="shared" si="3"/>
        <v>3332.2941176470586</v>
      </c>
      <c r="P46" s="12">
        <f>J46+F46+Parameters!$C$31*1000000</f>
        <v>3308.5529411764705</v>
      </c>
      <c r="Q46" s="12">
        <f>Parameters!$C$6*1000000-N46</f>
        <v>-3204.9529411764706</v>
      </c>
      <c r="R46" s="7">
        <f>IF(M46&lt;=Parameters!$C$6*1000000,1,0)</f>
        <v>0</v>
      </c>
      <c r="S46" s="7">
        <f>IF(N46&lt;=Parameters!$C$6*1000000,1,0)</f>
        <v>0</v>
      </c>
      <c r="T46" s="7">
        <f>IF(K46&lt;=Parameters!$C$12,1,0)</f>
        <v>0</v>
      </c>
      <c r="U46" s="16">
        <f>C46/(Parameters!$C$5*Parameters!$C$6)+D46/(Parameters!$C$5*Parameters!$C$7)+E46/(Parameters!$C$5*Parameters!$C$8)</f>
        <v>3.5656065885610868</v>
      </c>
    </row>
    <row r="47" spans="1:21" x14ac:dyDescent="0.35">
      <c r="A47" s="13">
        <v>256</v>
      </c>
      <c r="B47" s="14">
        <f>Parameters!$C$21*A47*(A47-1)+2*Parameters!$C$22*A47+Parameters!$C$23</f>
        <v>789042</v>
      </c>
      <c r="C47" s="14">
        <f t="shared" si="0"/>
        <v>84530</v>
      </c>
      <c r="D47" s="14">
        <f>Parameters!$C$24+Parameters!$C$25*A47</f>
        <v>5064</v>
      </c>
      <c r="E47" s="14">
        <f>Parameters!$C$26</f>
        <v>800</v>
      </c>
      <c r="F47" s="12">
        <f>B47/Parameters!$C$5*1000000</f>
        <v>4641.4235294117652</v>
      </c>
      <c r="G47" s="12">
        <f>D47/Parameters!$C$5*1000000</f>
        <v>29.788235294117648</v>
      </c>
      <c r="H47" s="12">
        <f>E47/Parameters!$C$5*1000000</f>
        <v>4.7058823529411757</v>
      </c>
      <c r="I47" s="17">
        <f>2*A47*Parameters!$C$28*1000000</f>
        <v>1843.1999999999998</v>
      </c>
      <c r="J47" s="17">
        <f>A47*Parameters!$C$28*1000000</f>
        <v>921.59999999999991</v>
      </c>
      <c r="K47" s="16">
        <f>B47/(Parameters!$C$5*Parameters!$C$6)+D47/(Parameters!$C$5*Parameters!$C$7)+E47/(Parameters!$C$5*Parameters!$C$8)</f>
        <v>46.444494117647061</v>
      </c>
      <c r="L47" s="16">
        <f>K47+2*A47*Parameters!$C$28/Parameters!$C$6</f>
        <v>64.876494117647056</v>
      </c>
      <c r="M47" s="12">
        <f t="shared" si="1"/>
        <v>6484.623529411765</v>
      </c>
      <c r="N47" s="12">
        <f t="shared" si="2"/>
        <v>5563.0235294117647</v>
      </c>
      <c r="O47" s="12">
        <f t="shared" si="3"/>
        <v>5597.517647058824</v>
      </c>
      <c r="P47" s="12">
        <f>J47+F47+Parameters!$C$31*1000000</f>
        <v>5566.623529411765</v>
      </c>
      <c r="Q47" s="12">
        <f>Parameters!$C$6*1000000-N47</f>
        <v>-5463.0235294117647</v>
      </c>
      <c r="R47" s="7">
        <f>IF(M47&lt;=Parameters!$C$6*1000000,1,0)</f>
        <v>0</v>
      </c>
      <c r="S47" s="7">
        <f>IF(N47&lt;=Parameters!$C$6*1000000,1,0)</f>
        <v>0</v>
      </c>
      <c r="T47" s="7">
        <f>IF(K47&lt;=Parameters!$C$12,1,0)</f>
        <v>0</v>
      </c>
      <c r="U47" s="16">
        <f>C47/(Parameters!$C$5*Parameters!$C$6)+D47/(Parameters!$C$5*Parameters!$C$7)+E47/(Parameters!$C$5*Parameters!$C$8)</f>
        <v>5.0026117647058825</v>
      </c>
    </row>
    <row r="50" spans="1:12" x14ac:dyDescent="0.35">
      <c r="A50" s="2" t="s">
        <v>247</v>
      </c>
    </row>
    <row r="51" spans="1:12" ht="15" customHeight="1" x14ac:dyDescent="0.35">
      <c r="A51" s="30" t="s">
        <v>248</v>
      </c>
      <c r="B51" s="30"/>
      <c r="C51" s="30"/>
      <c r="D51" s="30"/>
      <c r="E51" s="30"/>
      <c r="F51" s="30"/>
      <c r="G51" s="16">
        <f>SUMPRODUCT((L5:L41&lt;=Parameters!$C$12)*1)+3</f>
        <v>12</v>
      </c>
      <c r="H51" s="31" t="s">
        <v>249</v>
      </c>
      <c r="I51" s="31"/>
      <c r="J51" s="31"/>
      <c r="K51" s="31"/>
      <c r="L51" s="31"/>
    </row>
    <row r="52" spans="1:12" ht="15" customHeight="1" x14ac:dyDescent="0.35">
      <c r="A52" s="30" t="s">
        <v>250</v>
      </c>
      <c r="B52" s="30"/>
      <c r="C52" s="30"/>
      <c r="D52" s="30"/>
      <c r="E52" s="30"/>
      <c r="F52" s="30"/>
      <c r="G52" s="12">
        <f>SUMPRODUCT(R5:R41)+3</f>
        <v>12</v>
      </c>
      <c r="H52" s="31" t="s">
        <v>251</v>
      </c>
      <c r="I52" s="31"/>
      <c r="J52" s="31"/>
      <c r="K52" s="31"/>
      <c r="L52" s="31"/>
    </row>
    <row r="53" spans="1:12" ht="15" customHeight="1" x14ac:dyDescent="0.35">
      <c r="A53" s="30" t="s">
        <v>252</v>
      </c>
      <c r="B53" s="30"/>
      <c r="C53" s="30"/>
      <c r="D53" s="30"/>
      <c r="E53" s="30"/>
      <c r="F53" s="30"/>
      <c r="G53" s="12">
        <f>SUMPRODUCT(S5:S41)+3</f>
        <v>19</v>
      </c>
      <c r="H53" s="31" t="s">
        <v>253</v>
      </c>
      <c r="I53" s="31"/>
      <c r="J53" s="31"/>
      <c r="K53" s="31"/>
      <c r="L53" s="31"/>
    </row>
    <row r="54" spans="1:12" ht="15" customHeight="1" x14ac:dyDescent="0.35">
      <c r="A54" s="30" t="s">
        <v>254</v>
      </c>
      <c r="B54" s="30"/>
      <c r="C54" s="30"/>
      <c r="D54" s="30"/>
      <c r="E54" s="30"/>
      <c r="F54" s="30"/>
      <c r="G54" s="16">
        <f>SUMPRODUCT(T5:T41)+3</f>
        <v>37</v>
      </c>
      <c r="H54" s="31" t="s">
        <v>255</v>
      </c>
      <c r="I54" s="31"/>
      <c r="J54" s="31"/>
      <c r="K54" s="31"/>
      <c r="L54" s="31"/>
    </row>
    <row r="55" spans="1:12" ht="15" customHeight="1" x14ac:dyDescent="0.35">
      <c r="A55" s="30" t="s">
        <v>256</v>
      </c>
      <c r="B55" s="30"/>
      <c r="C55" s="30"/>
      <c r="D55" s="30"/>
      <c r="E55" s="30"/>
      <c r="F55" s="30"/>
      <c r="G55" s="16">
        <f>SQRT(Parameters!$C$12*Parameters!$C$5*Parameters!$C$6/Parameters!$C$21)</f>
        <v>37.638632635454051</v>
      </c>
      <c r="H55" s="31" t="s">
        <v>257</v>
      </c>
      <c r="I55" s="31"/>
      <c r="J55" s="31"/>
      <c r="K55" s="31"/>
      <c r="L55" s="31"/>
    </row>
    <row r="56" spans="1:12" ht="15" customHeight="1" x14ac:dyDescent="0.35">
      <c r="A56" s="30" t="s">
        <v>258</v>
      </c>
      <c r="B56" s="30"/>
      <c r="C56" s="30"/>
      <c r="D56" s="30"/>
      <c r="E56" s="30"/>
      <c r="F56" s="30"/>
      <c r="G56" s="16">
        <f>SUMPRODUCT((K5:K41&lt;=Parameters!$C$13)*1)+3</f>
        <v>30</v>
      </c>
      <c r="H56" s="31"/>
      <c r="I56" s="31"/>
      <c r="J56" s="31"/>
      <c r="K56" s="31"/>
      <c r="L56" s="31"/>
    </row>
    <row r="57" spans="1:12" ht="15" customHeight="1" x14ac:dyDescent="0.35">
      <c r="A57" s="30" t="s">
        <v>259</v>
      </c>
      <c r="B57" s="30"/>
      <c r="C57" s="30"/>
      <c r="D57" s="30"/>
      <c r="E57" s="30"/>
      <c r="F57" s="30"/>
      <c r="G57" s="12">
        <f>INDEX(B5:B47,MATCH(Parameters!$C$11,A5:A47,0))</f>
        <v>2900</v>
      </c>
      <c r="H57" s="31"/>
      <c r="I57" s="31"/>
      <c r="J57" s="31"/>
      <c r="K57" s="31"/>
      <c r="L57" s="31"/>
    </row>
    <row r="58" spans="1:12" ht="15" customHeight="1" x14ac:dyDescent="0.35">
      <c r="A58" s="30" t="s">
        <v>260</v>
      </c>
      <c r="B58" s="30"/>
      <c r="C58" s="30"/>
      <c r="D58" s="30"/>
      <c r="E58" s="30"/>
      <c r="F58" s="30"/>
      <c r="G58" s="12">
        <f>INDEX(F5:F47,MATCH(Parameters!$C$11,A5:A47,0))</f>
        <v>17.058823529411764</v>
      </c>
      <c r="H58" s="31"/>
      <c r="I58" s="31"/>
      <c r="J58" s="31"/>
      <c r="K58" s="31"/>
      <c r="L58" s="31"/>
    </row>
    <row r="59" spans="1:12" ht="15" customHeight="1" x14ac:dyDescent="0.35">
      <c r="A59" s="30" t="s">
        <v>261</v>
      </c>
      <c r="B59" s="30"/>
      <c r="C59" s="30"/>
      <c r="D59" s="30"/>
      <c r="E59" s="30"/>
      <c r="F59" s="30"/>
      <c r="G59" s="16">
        <f>INDEX(K5:K47,MATCH(Parameters!$C$11,A5:A47,0))</f>
        <v>0.17391176470588235</v>
      </c>
      <c r="H59" s="31" t="s">
        <v>262</v>
      </c>
      <c r="I59" s="31"/>
      <c r="J59" s="31"/>
      <c r="K59" s="31"/>
      <c r="L59" s="31"/>
    </row>
    <row r="60" spans="1:12" ht="15" customHeight="1" x14ac:dyDescent="0.35">
      <c r="A60" s="30" t="s">
        <v>263</v>
      </c>
      <c r="B60" s="30"/>
      <c r="C60" s="30"/>
      <c r="D60" s="30"/>
      <c r="E60" s="30"/>
      <c r="F60" s="30"/>
      <c r="G60" s="16">
        <f>INDEX(L5:L47,MATCH(Parameters!$C$11,A5:A47,0))</f>
        <v>1.2539117647058822</v>
      </c>
      <c r="H60" s="31" t="s">
        <v>264</v>
      </c>
      <c r="I60" s="31"/>
      <c r="J60" s="31"/>
      <c r="K60" s="31"/>
      <c r="L60" s="31"/>
    </row>
    <row r="61" spans="1:12" ht="15" customHeight="1" x14ac:dyDescent="0.35">
      <c r="A61" s="30" t="s">
        <v>265</v>
      </c>
      <c r="B61" s="30"/>
      <c r="C61" s="30"/>
      <c r="D61" s="30"/>
      <c r="E61" s="30"/>
      <c r="F61" s="30"/>
      <c r="G61" s="12">
        <f>INDEX(J5:J47,MATCH(Parameters!$C$11,A5:A47,0))/(Parameters!$C$6*1000000)</f>
        <v>0.54</v>
      </c>
      <c r="H61" s="31" t="s">
        <v>266</v>
      </c>
      <c r="I61" s="31"/>
      <c r="J61" s="31"/>
      <c r="K61" s="31"/>
      <c r="L61" s="31"/>
    </row>
    <row r="62" spans="1:12" ht="15" customHeight="1" x14ac:dyDescent="0.35">
      <c r="A62" s="30" t="s">
        <v>267</v>
      </c>
      <c r="B62" s="30"/>
      <c r="C62" s="30"/>
      <c r="D62" s="30"/>
      <c r="E62" s="30"/>
      <c r="F62" s="30"/>
      <c r="G62" s="12">
        <f>INDEX(N5:N47,MATCH(Parameters!$C$11,A5:A47,0))</f>
        <v>71.058823529411768</v>
      </c>
      <c r="H62" s="31" t="s">
        <v>268</v>
      </c>
      <c r="I62" s="31"/>
      <c r="J62" s="31"/>
      <c r="K62" s="31"/>
      <c r="L62" s="31"/>
    </row>
    <row r="63" spans="1:12" ht="15" customHeight="1" x14ac:dyDescent="0.35">
      <c r="A63" s="30"/>
      <c r="B63" s="30"/>
      <c r="C63" s="30"/>
      <c r="D63" s="30"/>
      <c r="E63" s="30"/>
      <c r="F63" s="30"/>
      <c r="G63" s="12">
        <f>INDEX(Q5:Q47,MATCH(Parameters!$C$11,A5:A47,0))</f>
        <v>28.941176470588232</v>
      </c>
      <c r="H63" s="31" t="s">
        <v>269</v>
      </c>
      <c r="I63" s="31"/>
      <c r="J63" s="31"/>
      <c r="K63" s="31"/>
      <c r="L63" s="31"/>
    </row>
    <row r="64" spans="1:12" ht="15" customHeight="1" x14ac:dyDescent="0.35">
      <c r="A64" s="30" t="s">
        <v>270</v>
      </c>
      <c r="B64" s="30"/>
      <c r="C64" s="30"/>
      <c r="D64" s="30"/>
      <c r="E64" s="30"/>
      <c r="F64" s="30"/>
      <c r="G64" s="12">
        <f>INDEX(P5:P47,MATCH(Parameters!$C$11,A5:A47,0))</f>
        <v>74.658823529411762</v>
      </c>
      <c r="H64" s="31" t="s">
        <v>271</v>
      </c>
      <c r="I64" s="31"/>
      <c r="J64" s="31"/>
      <c r="K64" s="31"/>
      <c r="L64" s="31"/>
    </row>
  </sheetData>
  <mergeCells count="28">
    <mergeCell ref="A51:F51"/>
    <mergeCell ref="H51:L51"/>
    <mergeCell ref="A52:F52"/>
    <mergeCell ref="H52:L52"/>
    <mergeCell ref="A53:F53"/>
    <mergeCell ref="H53:L53"/>
    <mergeCell ref="A54:F54"/>
    <mergeCell ref="H54:L54"/>
    <mergeCell ref="A55:F55"/>
    <mergeCell ref="H55:L55"/>
    <mergeCell ref="A56:F56"/>
    <mergeCell ref="H56:L56"/>
    <mergeCell ref="A57:F57"/>
    <mergeCell ref="H57:L57"/>
    <mergeCell ref="A58:F58"/>
    <mergeCell ref="H58:L58"/>
    <mergeCell ref="A59:F59"/>
    <mergeCell ref="H59:L59"/>
    <mergeCell ref="A63:F63"/>
    <mergeCell ref="H63:L63"/>
    <mergeCell ref="A64:F64"/>
    <mergeCell ref="H64:L64"/>
    <mergeCell ref="A60:F60"/>
    <mergeCell ref="H60:L60"/>
    <mergeCell ref="A61:F61"/>
    <mergeCell ref="H61:L61"/>
    <mergeCell ref="A62:F62"/>
    <mergeCell ref="H62:L6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showGridLines="0" topLeftCell="K1" zoomScaleNormal="100" workbookViewId="0"/>
  </sheetViews>
  <sheetFormatPr baseColWidth="10" defaultColWidth="8.6328125" defaultRowHeight="14.5" x14ac:dyDescent="0.35"/>
  <cols>
    <col min="1" max="1" width="9" customWidth="1"/>
    <col min="2" max="2" width="10" customWidth="1"/>
    <col min="3" max="3" width="16" customWidth="1"/>
    <col min="4" max="5" width="14" customWidth="1"/>
    <col min="6" max="7" width="18" customWidth="1"/>
    <col min="8" max="8" width="16" customWidth="1"/>
    <col min="9" max="9" width="20" customWidth="1"/>
    <col min="10" max="12" width="14" customWidth="1"/>
    <col min="13" max="13" width="12" customWidth="1"/>
  </cols>
  <sheetData>
    <row r="1" spans="1:13" ht="16.5" x14ac:dyDescent="0.35">
      <c r="A1" s="1" t="s">
        <v>272</v>
      </c>
    </row>
    <row r="2" spans="1:13" x14ac:dyDescent="0.35">
      <c r="A2" s="4" t="s">
        <v>273</v>
      </c>
    </row>
    <row r="4" spans="1:13" ht="39" x14ac:dyDescent="0.35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  <c r="G4" s="5" t="s">
        <v>280</v>
      </c>
      <c r="H4" s="5" t="s">
        <v>281</v>
      </c>
      <c r="I4" s="5" t="s">
        <v>282</v>
      </c>
      <c r="J4" s="5" t="s">
        <v>283</v>
      </c>
      <c r="K4" s="5" t="s">
        <v>284</v>
      </c>
      <c r="L4" s="5" t="s">
        <v>285</v>
      </c>
      <c r="M4" s="5" t="s">
        <v>286</v>
      </c>
    </row>
    <row r="5" spans="1:13" x14ac:dyDescent="0.35">
      <c r="A5" s="13">
        <v>8</v>
      </c>
      <c r="B5" s="18">
        <f t="shared" ref="B5:B10" si="0">LOG(A5,2)</f>
        <v>3</v>
      </c>
      <c r="C5" s="14">
        <f t="shared" ref="C5:C10" si="1">A5*B5*(B5+1)/4</f>
        <v>24</v>
      </c>
      <c r="D5" s="18">
        <f t="shared" ref="D5:D10" si="2">B5*(B5+1)/2</f>
        <v>6</v>
      </c>
      <c r="E5" s="12">
        <f>2*A5*Parameters!$C$30*1000000</f>
        <v>0.64</v>
      </c>
      <c r="F5" s="19">
        <v>0.36</v>
      </c>
      <c r="G5" s="12">
        <f>2*(3*D5)/Parameters!$C$37*1000000</f>
        <v>0.36</v>
      </c>
      <c r="H5" s="20">
        <f>(E5+F5+0.2)/(Parameters!$C$6*1000000)</f>
        <v>1.2E-2</v>
      </c>
      <c r="I5" s="14">
        <f>Parameters!$C$39*C5/($C$8)</f>
        <v>221.42857142857142</v>
      </c>
      <c r="J5" s="20">
        <f>I5/Parameters!$C$38</f>
        <v>8.1145034970892486E-3</v>
      </c>
      <c r="K5" s="21">
        <v>1.4999999999999999E-2</v>
      </c>
      <c r="L5" s="20">
        <f>I5/Parameters!$C$40</f>
        <v>1.0645604395604394E-2</v>
      </c>
      <c r="M5" s="7" t="str">
        <f t="shared" ref="M5:M10" si="3">IF(J5&lt;=1,"yes","no")</f>
        <v>yes</v>
      </c>
    </row>
    <row r="6" spans="1:13" x14ac:dyDescent="0.35">
      <c r="A6" s="13">
        <v>16</v>
      </c>
      <c r="B6" s="18">
        <f t="shared" si="0"/>
        <v>4</v>
      </c>
      <c r="C6" s="14">
        <f t="shared" si="1"/>
        <v>80</v>
      </c>
      <c r="D6" s="18">
        <f t="shared" si="2"/>
        <v>10</v>
      </c>
      <c r="E6" s="12">
        <f>2*A6*Parameters!$C$30*1000000</f>
        <v>1.28</v>
      </c>
      <c r="F6" s="19">
        <v>0.44</v>
      </c>
      <c r="G6" s="12">
        <f>2*(3*D6)/Parameters!$C$37*1000000</f>
        <v>0.6</v>
      </c>
      <c r="H6" s="20">
        <f>(E6+F6+0.2)/(Parameters!$C$6*1000000)</f>
        <v>1.9199999999999998E-2</v>
      </c>
      <c r="I6" s="14">
        <f>Parameters!$C$39*C6/($C$8)</f>
        <v>738.09523809523807</v>
      </c>
      <c r="J6" s="20">
        <f>I6/Parameters!$C$38</f>
        <v>2.7048344990297495E-2</v>
      </c>
      <c r="K6" s="21">
        <v>0.03</v>
      </c>
      <c r="L6" s="20">
        <f>I6/Parameters!$C$40</f>
        <v>3.5485347985347984E-2</v>
      </c>
      <c r="M6" s="7" t="str">
        <f t="shared" si="3"/>
        <v>yes</v>
      </c>
    </row>
    <row r="7" spans="1:13" x14ac:dyDescent="0.35">
      <c r="A7" s="13">
        <v>32</v>
      </c>
      <c r="B7" s="18">
        <f t="shared" si="0"/>
        <v>5</v>
      </c>
      <c r="C7" s="14">
        <f t="shared" si="1"/>
        <v>240</v>
      </c>
      <c r="D7" s="18">
        <f t="shared" si="2"/>
        <v>15</v>
      </c>
      <c r="E7" s="12">
        <f>2*A7*Parameters!$C$30*1000000</f>
        <v>2.56</v>
      </c>
      <c r="F7" s="19">
        <v>0.64</v>
      </c>
      <c r="G7" s="12">
        <f>2*(3*D7)/Parameters!$C$37*1000000</f>
        <v>0.89999999999999991</v>
      </c>
      <c r="H7" s="20">
        <f>(E7+F7+0.2)/(Parameters!$C$6*1000000)</f>
        <v>3.4000000000000002E-2</v>
      </c>
      <c r="I7" s="14">
        <f>Parameters!$C$39*C7/($C$8)</f>
        <v>2214.2857142857142</v>
      </c>
      <c r="J7" s="20">
        <f>I7/Parameters!$C$38</f>
        <v>8.1145034970892482E-2</v>
      </c>
      <c r="K7" s="21">
        <v>0.08</v>
      </c>
      <c r="L7" s="20">
        <f>I7/Parameters!$C$40</f>
        <v>0.10645604395604395</v>
      </c>
      <c r="M7" s="7" t="str">
        <f t="shared" si="3"/>
        <v>yes</v>
      </c>
    </row>
    <row r="8" spans="1:13" x14ac:dyDescent="0.35">
      <c r="A8" s="13">
        <v>64</v>
      </c>
      <c r="B8" s="18">
        <f t="shared" si="0"/>
        <v>6</v>
      </c>
      <c r="C8" s="14">
        <f t="shared" si="1"/>
        <v>672</v>
      </c>
      <c r="D8" s="18">
        <f t="shared" si="2"/>
        <v>21</v>
      </c>
      <c r="E8" s="12">
        <f>2*A8*Parameters!$C$30*1000000</f>
        <v>5.12</v>
      </c>
      <c r="F8" s="19">
        <v>0.88</v>
      </c>
      <c r="G8" s="12">
        <f>2*(3*D8)/Parameters!$C$37*1000000</f>
        <v>1.26</v>
      </c>
      <c r="H8" s="20">
        <f>(E8+F8+0.2)/(Parameters!$C$6*1000000)</f>
        <v>6.2E-2</v>
      </c>
      <c r="I8" s="14">
        <f>Parameters!$C$39*C8/($C$8)</f>
        <v>6200</v>
      </c>
      <c r="J8" s="20">
        <f>I8/Parameters!$C$38</f>
        <v>0.22720609791849897</v>
      </c>
      <c r="K8" s="21">
        <v>0.21</v>
      </c>
      <c r="L8" s="20">
        <f>I8/Parameters!$C$40</f>
        <v>0.29807692307692307</v>
      </c>
      <c r="M8" s="7" t="str">
        <f t="shared" si="3"/>
        <v>yes</v>
      </c>
    </row>
    <row r="9" spans="1:13" x14ac:dyDescent="0.35">
      <c r="A9" s="13">
        <v>128</v>
      </c>
      <c r="B9" s="18">
        <f t="shared" si="0"/>
        <v>7</v>
      </c>
      <c r="C9" s="14">
        <f t="shared" si="1"/>
        <v>1792</v>
      </c>
      <c r="D9" s="18">
        <f t="shared" si="2"/>
        <v>28</v>
      </c>
      <c r="E9" s="12">
        <f>2*A9*Parameters!$C$30*1000000</f>
        <v>10.24</v>
      </c>
      <c r="F9" s="19">
        <v>1.1599999999999999</v>
      </c>
      <c r="G9" s="12">
        <f>2*(3*D9)/Parameters!$C$37*1000000</f>
        <v>1.68</v>
      </c>
      <c r="H9" s="20">
        <f>(E9+F9+0.2)/(Parameters!$C$6*1000000)</f>
        <v>0.11599999999999999</v>
      </c>
      <c r="I9" s="14">
        <f>Parameters!$C$39*C9/($C$8)</f>
        <v>16533.333333333332</v>
      </c>
      <c r="J9" s="20">
        <f>I9/Parameters!$C$38</f>
        <v>0.60588292778266384</v>
      </c>
      <c r="K9" s="21">
        <v>0.55000000000000004</v>
      </c>
      <c r="L9" s="20">
        <f>I9/Parameters!$C$40</f>
        <v>0.79487179487179482</v>
      </c>
      <c r="M9" s="7" t="str">
        <f t="shared" si="3"/>
        <v>yes</v>
      </c>
    </row>
    <row r="10" spans="1:13" x14ac:dyDescent="0.35">
      <c r="A10" s="13">
        <v>256</v>
      </c>
      <c r="B10" s="18">
        <f t="shared" si="0"/>
        <v>8</v>
      </c>
      <c r="C10" s="14">
        <f t="shared" si="1"/>
        <v>4608</v>
      </c>
      <c r="D10" s="18">
        <f t="shared" si="2"/>
        <v>36</v>
      </c>
      <c r="E10" s="12">
        <f>2*A10*Parameters!$C$30*1000000</f>
        <v>20.48</v>
      </c>
      <c r="F10" s="19">
        <v>1.48</v>
      </c>
      <c r="G10" s="12">
        <f>2*(3*D10)/Parameters!$C$37*1000000</f>
        <v>2.16</v>
      </c>
      <c r="H10" s="20">
        <f>(E10+F10+0.2)/(Parameters!$C$6*1000000)</f>
        <v>0.22159999999999999</v>
      </c>
      <c r="I10" s="14">
        <f>Parameters!$C$39*C10/($C$8)</f>
        <v>42514.285714285717</v>
      </c>
      <c r="J10" s="20">
        <f>I10/Parameters!$C$38</f>
        <v>1.5579846714411358</v>
      </c>
      <c r="K10" s="21">
        <v>1.35</v>
      </c>
      <c r="L10" s="20">
        <f>I10/Parameters!$C$40</f>
        <v>2.0439560439560442</v>
      </c>
      <c r="M10" s="7" t="str">
        <f t="shared" si="3"/>
        <v>no</v>
      </c>
    </row>
    <row r="13" spans="1:13" x14ac:dyDescent="0.35">
      <c r="A13" s="2" t="s">
        <v>287</v>
      </c>
    </row>
    <row r="14" spans="1:13" x14ac:dyDescent="0.35">
      <c r="A14" s="22" t="s">
        <v>288</v>
      </c>
    </row>
    <row r="15" spans="1:13" x14ac:dyDescent="0.35">
      <c r="A15" s="22" t="s">
        <v>289</v>
      </c>
    </row>
    <row r="16" spans="1:13" x14ac:dyDescent="0.35">
      <c r="A16" s="22" t="s">
        <v>290</v>
      </c>
    </row>
    <row r="17" spans="1:1" x14ac:dyDescent="0.35">
      <c r="A17" s="22" t="s">
        <v>291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showGridLines="0" topLeftCell="I4" zoomScaleNormal="100" workbookViewId="0">
      <selection activeCell="V12" sqref="V12"/>
    </sheetView>
  </sheetViews>
  <sheetFormatPr baseColWidth="10" defaultColWidth="8.6328125" defaultRowHeight="14.5" x14ac:dyDescent="0.35"/>
  <cols>
    <col min="1" max="1" width="42" customWidth="1"/>
    <col min="2" max="2" width="10" customWidth="1"/>
    <col min="3" max="3" width="12" customWidth="1"/>
    <col min="4" max="4" width="16" customWidth="1"/>
    <col min="5" max="5" width="18" customWidth="1"/>
    <col min="6" max="6" width="46" customWidth="1"/>
    <col min="7" max="8" width="10" customWidth="1"/>
  </cols>
  <sheetData>
    <row r="1" spans="1:8" ht="16.5" x14ac:dyDescent="0.35">
      <c r="A1" s="1" t="s">
        <v>292</v>
      </c>
    </row>
    <row r="4" spans="1:8" ht="26" x14ac:dyDescent="0.35">
      <c r="A4" s="5" t="s">
        <v>293</v>
      </c>
      <c r="B4" s="5" t="s">
        <v>294</v>
      </c>
      <c r="C4" s="5" t="s">
        <v>295</v>
      </c>
      <c r="D4" s="5" t="s">
        <v>296</v>
      </c>
      <c r="E4" s="5" t="s">
        <v>297</v>
      </c>
      <c r="F4" s="5" t="s">
        <v>164</v>
      </c>
    </row>
    <row r="5" spans="1:8" x14ac:dyDescent="0.35">
      <c r="A5" s="7" t="s">
        <v>298</v>
      </c>
      <c r="B5" s="14">
        <f>Parameters!$C$32</f>
        <v>970</v>
      </c>
      <c r="C5" s="23">
        <f>Parameters!$C$6</f>
        <v>1E-4</v>
      </c>
      <c r="D5" s="12">
        <f>B5/Parameters!$C$5*1000000</f>
        <v>5.7058823529411766</v>
      </c>
      <c r="E5" s="24">
        <f>B5/(Parameters!$C$5*C5)</f>
        <v>5.7058823529411766E-2</v>
      </c>
      <c r="F5" s="7" t="s">
        <v>299</v>
      </c>
    </row>
    <row r="6" spans="1:8" x14ac:dyDescent="0.35">
      <c r="A6" s="7" t="s">
        <v>300</v>
      </c>
      <c r="B6" s="14">
        <f>Parameters!$C$33</f>
        <v>220</v>
      </c>
      <c r="C6" s="23">
        <f>Parameters!$C$7</f>
        <v>1E-3</v>
      </c>
      <c r="D6" s="12">
        <f>B6/Parameters!$C$5*1000000</f>
        <v>1.2941176470588234</v>
      </c>
      <c r="E6" s="24">
        <f>B6/(Parameters!$C$5*C6)</f>
        <v>1.2941176470588236E-3</v>
      </c>
      <c r="F6" s="7" t="s">
        <v>301</v>
      </c>
    </row>
    <row r="7" spans="1:8" x14ac:dyDescent="0.35">
      <c r="A7" s="7" t="s">
        <v>302</v>
      </c>
      <c r="B7" s="14">
        <f>Parameters!$C$34</f>
        <v>800</v>
      </c>
      <c r="C7" s="23">
        <f>Parameters!$C$8</f>
        <v>0.01</v>
      </c>
      <c r="D7" s="12">
        <f>B7/Parameters!$C$5*1000000</f>
        <v>4.7058823529411757</v>
      </c>
      <c r="E7" s="24">
        <f>B7/(Parameters!$C$5*C7)</f>
        <v>4.7058823529411766E-4</v>
      </c>
      <c r="F7" s="7" t="s">
        <v>303</v>
      </c>
    </row>
    <row r="8" spans="1:8" x14ac:dyDescent="0.35">
      <c r="A8" s="6" t="s">
        <v>304</v>
      </c>
      <c r="E8" s="16">
        <f>SUM(E5:E7)</f>
        <v>5.8823529411764705E-2</v>
      </c>
      <c r="F8" s="7" t="s">
        <v>305</v>
      </c>
    </row>
    <row r="9" spans="1:8" x14ac:dyDescent="0.35">
      <c r="A9" s="7" t="s">
        <v>306</v>
      </c>
      <c r="D9" s="12">
        <f>Parameters!$C$29*1000000</f>
        <v>13.333333333333334</v>
      </c>
    </row>
    <row r="10" spans="1:8" x14ac:dyDescent="0.35">
      <c r="A10" s="7" t="s">
        <v>307</v>
      </c>
      <c r="D10" s="12">
        <f>D9</f>
        <v>13.333333333333334</v>
      </c>
      <c r="E10" s="20">
        <f>D10/(Parameters!$C$6*1000000)</f>
        <v>0.13333333333333333</v>
      </c>
      <c r="F10" s="7" t="s">
        <v>308</v>
      </c>
    </row>
    <row r="11" spans="1:8" x14ac:dyDescent="0.35">
      <c r="A11" s="7" t="s">
        <v>309</v>
      </c>
      <c r="D11" s="12">
        <f>2*D9</f>
        <v>26.666666666666668</v>
      </c>
    </row>
    <row r="12" spans="1:8" ht="26" x14ac:dyDescent="0.35">
      <c r="A12" s="7" t="s">
        <v>310</v>
      </c>
      <c r="D12" s="12">
        <f>D10+D5</f>
        <v>19.03921568627451</v>
      </c>
      <c r="F12" s="7" t="s">
        <v>311</v>
      </c>
    </row>
    <row r="14" spans="1:8" x14ac:dyDescent="0.35">
      <c r="A14" s="2" t="s">
        <v>312</v>
      </c>
    </row>
    <row r="15" spans="1:8" ht="26" x14ac:dyDescent="0.35">
      <c r="A15" s="5" t="s">
        <v>157</v>
      </c>
      <c r="B15" s="5" t="s">
        <v>313</v>
      </c>
      <c r="C15" s="5" t="s">
        <v>314</v>
      </c>
      <c r="D15" s="5" t="s">
        <v>315</v>
      </c>
      <c r="E15" s="5" t="s">
        <v>316</v>
      </c>
      <c r="F15" s="5" t="s">
        <v>317</v>
      </c>
      <c r="G15" s="5" t="s">
        <v>318</v>
      </c>
      <c r="H15" s="5" t="s">
        <v>319</v>
      </c>
    </row>
    <row r="16" spans="1:8" x14ac:dyDescent="0.35">
      <c r="A16" s="13">
        <v>4</v>
      </c>
      <c r="B16" s="25">
        <f t="shared" ref="B16:B29" si="0">2*(1-COS(2*PI()/A16))</f>
        <v>1.9999999999999998</v>
      </c>
      <c r="C16" s="25">
        <f t="shared" ref="C16:C29" si="1">(2*PI()/A16)^2</f>
        <v>2.4674011002723395</v>
      </c>
      <c r="D16" s="12">
        <f>Parameters!$C$6/(Parameters!$C$35*B16)*1000</f>
        <v>0.25000000000000006</v>
      </c>
      <c r="E16" s="7" t="str">
        <f t="shared" ref="E16:E29" si="2">IF(D16&lt;=50,"yes","no")</f>
        <v>yes</v>
      </c>
      <c r="F16" s="26">
        <f>A16/2*(Parameters!$C$29+Parameters!$C$36)*1000</f>
        <v>3.0006666666666664E-2</v>
      </c>
      <c r="G16" s="7" t="str">
        <f>IF(F16&lt;=Parameters!$C$7*1000,"yes","no")</f>
        <v>yes</v>
      </c>
      <c r="H16" s="7" t="str">
        <f>IF(F16&lt;=Parameters!$C$8*1000,"yes","no")</f>
        <v>yes</v>
      </c>
    </row>
    <row r="17" spans="1:8" x14ac:dyDescent="0.35">
      <c r="A17" s="13">
        <v>8</v>
      </c>
      <c r="B17" s="25">
        <f t="shared" si="0"/>
        <v>0.58578643762690485</v>
      </c>
      <c r="C17" s="25">
        <f t="shared" si="1"/>
        <v>0.61685027506808487</v>
      </c>
      <c r="D17" s="12">
        <f>Parameters!$C$6/(Parameters!$C$35*B17)*1000</f>
        <v>0.85355339059327395</v>
      </c>
      <c r="E17" s="7" t="str">
        <f t="shared" si="2"/>
        <v>yes</v>
      </c>
      <c r="F17" s="26">
        <f>A17/2*(Parameters!$C$29+Parameters!$C$36)*1000</f>
        <v>6.0013333333333328E-2</v>
      </c>
      <c r="G17" s="7" t="str">
        <f>IF(F17&lt;=Parameters!$C$7*1000,"yes","no")</f>
        <v>yes</v>
      </c>
      <c r="H17" s="7" t="str">
        <f>IF(F17&lt;=Parameters!$C$8*1000,"yes","no")</f>
        <v>yes</v>
      </c>
    </row>
    <row r="18" spans="1:8" x14ac:dyDescent="0.35">
      <c r="A18" s="13">
        <v>12</v>
      </c>
      <c r="B18" s="25">
        <f t="shared" si="0"/>
        <v>0.26794919243112258</v>
      </c>
      <c r="C18" s="25">
        <f t="shared" si="1"/>
        <v>0.27415567780803768</v>
      </c>
      <c r="D18" s="12">
        <f>Parameters!$C$6/(Parameters!$C$35*B18)*1000</f>
        <v>1.8660254037844395</v>
      </c>
      <c r="E18" s="7" t="str">
        <f t="shared" si="2"/>
        <v>yes</v>
      </c>
      <c r="F18" s="26">
        <f>A18/2*(Parameters!$C$29+Parameters!$C$36)*1000</f>
        <v>9.0019999999999989E-2</v>
      </c>
      <c r="G18" s="7" t="str">
        <f>IF(F18&lt;=Parameters!$C$7*1000,"yes","no")</f>
        <v>yes</v>
      </c>
      <c r="H18" s="7" t="str">
        <f>IF(F18&lt;=Parameters!$C$8*1000,"yes","no")</f>
        <v>yes</v>
      </c>
    </row>
    <row r="19" spans="1:8" x14ac:dyDescent="0.35">
      <c r="A19" s="13">
        <v>16</v>
      </c>
      <c r="B19" s="25">
        <f t="shared" si="0"/>
        <v>0.15224093497742652</v>
      </c>
      <c r="C19" s="25">
        <f t="shared" si="1"/>
        <v>0.15421256876702122</v>
      </c>
      <c r="D19" s="12">
        <f>Parameters!$C$6/(Parameters!$C$35*B19)*1000</f>
        <v>3.2842677961360218</v>
      </c>
      <c r="E19" s="7" t="str">
        <f t="shared" si="2"/>
        <v>yes</v>
      </c>
      <c r="F19" s="26">
        <f>A19/2*(Parameters!$C$29+Parameters!$C$36)*1000</f>
        <v>0.12002666666666666</v>
      </c>
      <c r="G19" s="7" t="str">
        <f>IF(F19&lt;=Parameters!$C$7*1000,"yes","no")</f>
        <v>yes</v>
      </c>
      <c r="H19" s="7" t="str">
        <f>IF(F19&lt;=Parameters!$C$8*1000,"yes","no")</f>
        <v>yes</v>
      </c>
    </row>
    <row r="20" spans="1:8" x14ac:dyDescent="0.35">
      <c r="A20" s="13">
        <v>24</v>
      </c>
      <c r="B20" s="25">
        <f t="shared" si="0"/>
        <v>6.8148347421863376E-2</v>
      </c>
      <c r="C20" s="25">
        <f t="shared" si="1"/>
        <v>6.853891945200942E-2</v>
      </c>
      <c r="D20" s="12">
        <f>Parameters!$C$6/(Parameters!$C$35*B20)*1000</f>
        <v>7.336935067622635</v>
      </c>
      <c r="E20" s="7" t="str">
        <f t="shared" si="2"/>
        <v>yes</v>
      </c>
      <c r="F20" s="26">
        <f>A20/2*(Parameters!$C$29+Parameters!$C$36)*1000</f>
        <v>0.18003999999999998</v>
      </c>
      <c r="G20" s="7" t="str">
        <f>IF(F20&lt;=Parameters!$C$7*1000,"yes","no")</f>
        <v>yes</v>
      </c>
      <c r="H20" s="7" t="str">
        <f>IF(F20&lt;=Parameters!$C$8*1000,"yes","no")</f>
        <v>yes</v>
      </c>
    </row>
    <row r="21" spans="1:8" x14ac:dyDescent="0.35">
      <c r="A21" s="13">
        <v>32</v>
      </c>
      <c r="B21" s="25">
        <f t="shared" si="0"/>
        <v>3.8429439193539139E-2</v>
      </c>
      <c r="C21" s="25">
        <f t="shared" si="1"/>
        <v>3.8553142191755305E-2</v>
      </c>
      <c r="D21" s="12">
        <f>Parameters!$C$6/(Parameters!$C$35*B21)*1000</f>
        <v>13.01085861497717</v>
      </c>
      <c r="E21" s="7" t="str">
        <f t="shared" si="2"/>
        <v>yes</v>
      </c>
      <c r="F21" s="26">
        <f>A21/2*(Parameters!$C$29+Parameters!$C$36)*1000</f>
        <v>0.24005333333333331</v>
      </c>
      <c r="G21" s="7" t="str">
        <f>IF(F21&lt;=Parameters!$C$7*1000,"yes","no")</f>
        <v>yes</v>
      </c>
      <c r="H21" s="7" t="str">
        <f>IF(F21&lt;=Parameters!$C$8*1000,"yes","no")</f>
        <v>yes</v>
      </c>
    </row>
    <row r="22" spans="1:8" x14ac:dyDescent="0.35">
      <c r="A22" s="13">
        <v>48</v>
      </c>
      <c r="B22" s="25">
        <f t="shared" si="0"/>
        <v>1.7110277252379236E-2</v>
      </c>
      <c r="C22" s="25">
        <f t="shared" si="1"/>
        <v>1.7134729863002355E-2</v>
      </c>
      <c r="D22" s="12">
        <f>Parameters!$C$6/(Parameters!$C$35*B22)*1000</f>
        <v>29.222203277300693</v>
      </c>
      <c r="E22" s="7" t="str">
        <f t="shared" si="2"/>
        <v>yes</v>
      </c>
      <c r="F22" s="26">
        <f>A22/2*(Parameters!$C$29+Parameters!$C$36)*1000</f>
        <v>0.36007999999999996</v>
      </c>
      <c r="G22" s="7" t="str">
        <f>IF(F22&lt;=Parameters!$C$7*1000,"yes","no")</f>
        <v>yes</v>
      </c>
      <c r="H22" s="7" t="str">
        <f>IF(F22&lt;=Parameters!$C$8*1000,"yes","no")</f>
        <v>yes</v>
      </c>
    </row>
    <row r="23" spans="1:8" x14ac:dyDescent="0.35">
      <c r="A23" s="13">
        <v>64</v>
      </c>
      <c r="B23" s="25">
        <f t="shared" si="0"/>
        <v>9.6305466556061425E-3</v>
      </c>
      <c r="C23" s="25">
        <f t="shared" si="1"/>
        <v>9.6382855479388262E-3</v>
      </c>
      <c r="D23" s="12">
        <f>Parameters!$C$6/(Parameters!$C$35*B23)*1000</f>
        <v>51.918132778988152</v>
      </c>
      <c r="E23" s="7" t="str">
        <f t="shared" si="2"/>
        <v>no</v>
      </c>
      <c r="F23" s="26">
        <f>A23/2*(Parameters!$C$29+Parameters!$C$36)*1000</f>
        <v>0.48010666666666663</v>
      </c>
      <c r="G23" s="7" t="str">
        <f>IF(F23&lt;=Parameters!$C$7*1000,"yes","no")</f>
        <v>yes</v>
      </c>
      <c r="H23" s="7" t="str">
        <f>IF(F23&lt;=Parameters!$C$8*1000,"yes","no")</f>
        <v>yes</v>
      </c>
    </row>
    <row r="24" spans="1:8" x14ac:dyDescent="0.35">
      <c r="A24" s="13">
        <v>80</v>
      </c>
      <c r="B24" s="25">
        <f t="shared" si="0"/>
        <v>6.1653325337440723E-3</v>
      </c>
      <c r="C24" s="25">
        <f t="shared" si="1"/>
        <v>6.1685027506808484E-3</v>
      </c>
      <c r="D24" s="12">
        <f>Parameters!$C$6/(Parameters!$C$35*B24)*1000</f>
        <v>81.098626434730349</v>
      </c>
      <c r="E24" s="7" t="str">
        <f t="shared" si="2"/>
        <v>no</v>
      </c>
      <c r="F24" s="26">
        <f>A24/2*(Parameters!$C$29+Parameters!$C$36)*1000</f>
        <v>0.6001333333333333</v>
      </c>
      <c r="G24" s="7" t="str">
        <f>IF(F24&lt;=Parameters!$C$7*1000,"yes","no")</f>
        <v>yes</v>
      </c>
      <c r="H24" s="7" t="str">
        <f>IF(F24&lt;=Parameters!$C$8*1000,"yes","no")</f>
        <v>yes</v>
      </c>
    </row>
    <row r="25" spans="1:8" x14ac:dyDescent="0.35">
      <c r="A25" s="13">
        <v>90</v>
      </c>
      <c r="B25" s="25">
        <f t="shared" si="0"/>
        <v>4.8718994803516047E-3</v>
      </c>
      <c r="C25" s="25">
        <f t="shared" si="1"/>
        <v>4.8738787165873371E-3</v>
      </c>
      <c r="D25" s="12">
        <f>Parameters!$C$6/(Parameters!$C$35*B25)*1000</f>
        <v>102.62937526040973</v>
      </c>
      <c r="E25" s="7" t="str">
        <f t="shared" si="2"/>
        <v>no</v>
      </c>
      <c r="F25" s="26">
        <f>A25/2*(Parameters!$C$29+Parameters!$C$36)*1000</f>
        <v>0.67515000000000003</v>
      </c>
      <c r="G25" s="7" t="str">
        <f>IF(F25&lt;=Parameters!$C$7*1000,"yes","no")</f>
        <v>yes</v>
      </c>
      <c r="H25" s="7" t="str">
        <f>IF(F25&lt;=Parameters!$C$8*1000,"yes","no")</f>
        <v>yes</v>
      </c>
    </row>
    <row r="26" spans="1:8" x14ac:dyDescent="0.35">
      <c r="A26" s="13">
        <v>96</v>
      </c>
      <c r="B26" s="25">
        <f t="shared" si="0"/>
        <v>4.2821535227930418E-3</v>
      </c>
      <c r="C26" s="25">
        <f t="shared" si="1"/>
        <v>4.2836824657505887E-3</v>
      </c>
      <c r="D26" s="12">
        <f>Parameters!$C$6/(Parameters!$C$35*B26)*1000</f>
        <v>116.76367914849399</v>
      </c>
      <c r="E26" s="7" t="str">
        <f t="shared" si="2"/>
        <v>no</v>
      </c>
      <c r="F26" s="26">
        <f>A26/2*(Parameters!$C$29+Parameters!$C$36)*1000</f>
        <v>0.72015999999999991</v>
      </c>
      <c r="G26" s="7" t="str">
        <f>IF(F26&lt;=Parameters!$C$7*1000,"yes","no")</f>
        <v>yes</v>
      </c>
      <c r="H26" s="7" t="str">
        <f>IF(F26&lt;=Parameters!$C$8*1000,"yes","no")</f>
        <v>yes</v>
      </c>
    </row>
    <row r="27" spans="1:8" x14ac:dyDescent="0.35">
      <c r="A27" s="13">
        <v>128</v>
      </c>
      <c r="B27" s="25">
        <f t="shared" si="0"/>
        <v>2.40908758965519E-3</v>
      </c>
      <c r="C27" s="25">
        <f t="shared" si="1"/>
        <v>2.4095713869847065E-3</v>
      </c>
      <c r="D27" s="12">
        <f>Parameters!$C$6/(Parameters!$C$35*B27)*1000</f>
        <v>207.54745578659697</v>
      </c>
      <c r="E27" s="7" t="str">
        <f t="shared" si="2"/>
        <v>no</v>
      </c>
      <c r="F27" s="26">
        <f>A27/2*(Parameters!$C$29+Parameters!$C$36)*1000</f>
        <v>0.96021333333333325</v>
      </c>
      <c r="G27" s="7" t="str">
        <f>IF(F27&lt;=Parameters!$C$7*1000,"yes","no")</f>
        <v>yes</v>
      </c>
      <c r="H27" s="7" t="str">
        <f>IF(F27&lt;=Parameters!$C$8*1000,"yes","no")</f>
        <v>yes</v>
      </c>
    </row>
    <row r="28" spans="1:8" x14ac:dyDescent="0.35">
      <c r="A28" s="13">
        <v>192</v>
      </c>
      <c r="B28" s="25">
        <f t="shared" si="0"/>
        <v>1.0708250472686309E-3</v>
      </c>
      <c r="C28" s="25">
        <f t="shared" si="1"/>
        <v>1.0709206164376472E-3</v>
      </c>
      <c r="D28" s="12">
        <f>Parameters!$C$6/(Parameters!$C$35*B28)*1000</f>
        <v>466.92968312177351</v>
      </c>
      <c r="E28" s="7" t="str">
        <f t="shared" si="2"/>
        <v>no</v>
      </c>
      <c r="F28" s="26">
        <f>A28/2*(Parameters!$C$29+Parameters!$C$36)*1000</f>
        <v>1.4403199999999998</v>
      </c>
      <c r="G28" s="7" t="str">
        <f>IF(F28&lt;=Parameters!$C$7*1000,"yes","no")</f>
        <v>no</v>
      </c>
      <c r="H28" s="7" t="str">
        <f>IF(F28&lt;=Parameters!$C$8*1000,"yes","no")</f>
        <v>yes</v>
      </c>
    </row>
    <row r="29" spans="1:8" x14ac:dyDescent="0.35">
      <c r="A29" s="13">
        <v>256</v>
      </c>
      <c r="B29" s="25">
        <f t="shared" si="0"/>
        <v>6.0236260759150007E-4</v>
      </c>
      <c r="C29" s="25">
        <f t="shared" si="1"/>
        <v>6.0239284674617664E-4</v>
      </c>
      <c r="D29" s="12">
        <f>Parameters!$C$6/(Parameters!$C$35*B29)*1000</f>
        <v>830.06480431979514</v>
      </c>
      <c r="E29" s="7" t="str">
        <f t="shared" si="2"/>
        <v>no</v>
      </c>
      <c r="F29" s="26">
        <f>A29/2*(Parameters!$C$29+Parameters!$C$36)*1000</f>
        <v>1.9204266666666665</v>
      </c>
      <c r="G29" s="7" t="str">
        <f>IF(F29&lt;=Parameters!$C$7*1000,"yes","no")</f>
        <v>no</v>
      </c>
      <c r="H29" s="7" t="str">
        <f>IF(F29&lt;=Parameters!$C$8*1000,"yes","no")</f>
        <v>yes</v>
      </c>
    </row>
    <row r="31" spans="1:8" x14ac:dyDescent="0.35">
      <c r="A31" s="22" t="s">
        <v>320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7"/>
  <sheetViews>
    <sheetView showGridLines="0" zoomScaleNormal="100" workbookViewId="0"/>
  </sheetViews>
  <sheetFormatPr baseColWidth="10" defaultColWidth="8.6328125" defaultRowHeight="14.5" x14ac:dyDescent="0.35"/>
  <cols>
    <col min="1" max="1" width="6" customWidth="1"/>
    <col min="2" max="14" width="15" customWidth="1"/>
  </cols>
  <sheetData>
    <row r="1" spans="1:14" ht="16.5" x14ac:dyDescent="0.35">
      <c r="A1" s="1" t="s">
        <v>321</v>
      </c>
    </row>
    <row r="4" spans="1:14" ht="52" x14ac:dyDescent="0.35">
      <c r="A4" s="5" t="s">
        <v>157</v>
      </c>
      <c r="B4" s="5" t="s">
        <v>322</v>
      </c>
      <c r="C4" s="5" t="s">
        <v>323</v>
      </c>
      <c r="D4" s="5" t="s">
        <v>324</v>
      </c>
      <c r="E4" s="5" t="s">
        <v>325</v>
      </c>
      <c r="F4" s="5" t="s">
        <v>326</v>
      </c>
      <c r="G4" s="5" t="s">
        <v>327</v>
      </c>
      <c r="H4" s="5" t="s">
        <v>328</v>
      </c>
      <c r="I4" s="5" t="s">
        <v>329</v>
      </c>
      <c r="J4" s="5" t="s">
        <v>330</v>
      </c>
      <c r="K4" s="5" t="s">
        <v>331</v>
      </c>
      <c r="L4" s="5" t="s">
        <v>332</v>
      </c>
      <c r="M4" s="5" t="s">
        <v>333</v>
      </c>
      <c r="N4" s="5" t="s">
        <v>334</v>
      </c>
    </row>
    <row r="5" spans="1:14" x14ac:dyDescent="0.35">
      <c r="A5" s="13">
        <v>4</v>
      </c>
      <c r="B5" s="12">
        <f>(Parameters!$C$21*A5*(A5-1)+2*Parameters!$C$22*A5+Parameters!$C$23)/Parameters!$C$5*1000000</f>
        <v>1.6588235294117648</v>
      </c>
      <c r="C5" s="12">
        <f>(40*A5*LOG(A5,2)+10*A5+50)/Parameters!$C$5*1000000</f>
        <v>2.4117647058823533</v>
      </c>
      <c r="D5" s="12">
        <f>(200+6*A5)/Parameters!$C$5*1000000</f>
        <v>1.3176470588235294</v>
      </c>
      <c r="E5" s="12">
        <f>(Parameters!$C$24+Parameters!$C$25*A5)/Parameters!$C$5*1000000</f>
        <v>1.6235294117647059</v>
      </c>
      <c r="F5" s="12">
        <f>Parameters!$C$26/Parameters!$C$5*1000000</f>
        <v>4.7058823529411757</v>
      </c>
      <c r="G5" s="12">
        <f>Parameters!$C$32/Parameters!$C$5*1000000</f>
        <v>5.7058823529411766</v>
      </c>
      <c r="H5" s="12">
        <f>Parameters!$C$33/Parameters!$C$5*1000000</f>
        <v>1.2941176470588234</v>
      </c>
      <c r="I5" s="12">
        <f>2*3*(CEILING(LOG(A5,2),1)*(CEILING(LOG(A5,2),1)+1)/2)/Parameters!$C$37*1000000</f>
        <v>0.18</v>
      </c>
      <c r="J5" s="18">
        <f>Parameters!$C$6*1000000</f>
        <v>100</v>
      </c>
      <c r="K5" s="17">
        <f>1/(4*A5*Parameters!$C$9)*1000000</f>
        <v>1250</v>
      </c>
      <c r="L5" s="17">
        <f>2*A5*Parameters!$C$28*1000000</f>
        <v>28.799999999999997</v>
      </c>
      <c r="M5" s="12">
        <f>2*A5*Parameters!$C$30*1000000</f>
        <v>0.32</v>
      </c>
      <c r="N5" s="12">
        <f>Parameters!$C$29*1000000</f>
        <v>13.333333333333334</v>
      </c>
    </row>
    <row r="6" spans="1:14" x14ac:dyDescent="0.35">
      <c r="A6" s="13">
        <v>5</v>
      </c>
      <c r="B6" s="12">
        <f>(Parameters!$C$21*A6*(A6-1)+2*Parameters!$C$22*A6+Parameters!$C$23)/Parameters!$C$5*1000000</f>
        <v>2.3529411764705879</v>
      </c>
      <c r="C6" s="12">
        <f>(40*A6*LOG(A6,2)+10*A6+50)/Parameters!$C$5*1000000</f>
        <v>3.3199154057498377</v>
      </c>
      <c r="D6" s="12">
        <f>(200+6*A6)/Parameters!$C$5*1000000</f>
        <v>1.3529411764705883</v>
      </c>
      <c r="E6" s="12">
        <f>(Parameters!$C$24+Parameters!$C$25*A6)/Parameters!$C$5*1000000</f>
        <v>1.7352941176470589</v>
      </c>
      <c r="F6" s="12">
        <f>Parameters!$C$26/Parameters!$C$5*1000000</f>
        <v>4.7058823529411757</v>
      </c>
      <c r="G6" s="12">
        <f>Parameters!$C$32/Parameters!$C$5*1000000</f>
        <v>5.7058823529411766</v>
      </c>
      <c r="H6" s="12">
        <f>Parameters!$C$33/Parameters!$C$5*1000000</f>
        <v>1.2941176470588234</v>
      </c>
      <c r="I6" s="12">
        <f>2*3*(CEILING(LOG(A6,2),1)*(CEILING(LOG(A6,2),1)+1)/2)/Parameters!$C$37*1000000</f>
        <v>0.36</v>
      </c>
      <c r="J6" s="18">
        <f>Parameters!$C$6*1000000</f>
        <v>100</v>
      </c>
      <c r="K6" s="17">
        <f>1/(4*A6*Parameters!$C$9)*1000000</f>
        <v>1000</v>
      </c>
      <c r="L6" s="17">
        <f>2*A6*Parameters!$C$28*1000000</f>
        <v>36</v>
      </c>
      <c r="M6" s="12">
        <f>2*A6*Parameters!$C$30*1000000</f>
        <v>0.39999999999999997</v>
      </c>
      <c r="N6" s="12">
        <f>Parameters!$C$29*1000000</f>
        <v>13.333333333333334</v>
      </c>
    </row>
    <row r="7" spans="1:14" x14ac:dyDescent="0.35">
      <c r="A7" s="13">
        <v>6</v>
      </c>
      <c r="B7" s="12">
        <f>(Parameters!$C$21*A7*(A7-1)+2*Parameters!$C$22*A7+Parameters!$C$23)/Parameters!$C$5*1000000</f>
        <v>3.1882352941176473</v>
      </c>
      <c r="C7" s="12">
        <f>(40*A7*LOG(A7,2)+10*A7+50)/Parameters!$C$5*1000000</f>
        <v>4.2964176480769263</v>
      </c>
      <c r="D7" s="12">
        <f>(200+6*A7)/Parameters!$C$5*1000000</f>
        <v>1.388235294117647</v>
      </c>
      <c r="E7" s="12">
        <f>(Parameters!$C$24+Parameters!$C$25*A7)/Parameters!$C$5*1000000</f>
        <v>1.8470588235294119</v>
      </c>
      <c r="F7" s="12">
        <f>Parameters!$C$26/Parameters!$C$5*1000000</f>
        <v>4.7058823529411757</v>
      </c>
      <c r="G7" s="12">
        <f>Parameters!$C$32/Parameters!$C$5*1000000</f>
        <v>5.7058823529411766</v>
      </c>
      <c r="H7" s="12">
        <f>Parameters!$C$33/Parameters!$C$5*1000000</f>
        <v>1.2941176470588234</v>
      </c>
      <c r="I7" s="12">
        <f>2*3*(CEILING(LOG(A7,2),1)*(CEILING(LOG(A7,2),1)+1)/2)/Parameters!$C$37*1000000</f>
        <v>0.36</v>
      </c>
      <c r="J7" s="18">
        <f>Parameters!$C$6*1000000</f>
        <v>100</v>
      </c>
      <c r="K7" s="17">
        <f>1/(4*A7*Parameters!$C$9)*1000000</f>
        <v>833.33333333333337</v>
      </c>
      <c r="L7" s="17">
        <f>2*A7*Parameters!$C$28*1000000</f>
        <v>43.2</v>
      </c>
      <c r="M7" s="12">
        <f>2*A7*Parameters!$C$30*1000000</f>
        <v>0.48000000000000004</v>
      </c>
      <c r="N7" s="12">
        <f>Parameters!$C$29*1000000</f>
        <v>13.333333333333334</v>
      </c>
    </row>
    <row r="8" spans="1:14" x14ac:dyDescent="0.35">
      <c r="A8" s="13">
        <v>7</v>
      </c>
      <c r="B8" s="12">
        <f>(Parameters!$C$21*A8*(A8-1)+2*Parameters!$C$22*A8+Parameters!$C$23)/Parameters!$C$5*1000000</f>
        <v>4.1647058823529406</v>
      </c>
      <c r="C8" s="12">
        <f>(40*A8*LOG(A8,2)+10*A8+50)/Parameters!$C$5*1000000</f>
        <v>5.3297610480948769</v>
      </c>
      <c r="D8" s="12">
        <f>(200+6*A8)/Parameters!$C$5*1000000</f>
        <v>1.4235294117647059</v>
      </c>
      <c r="E8" s="12">
        <f>(Parameters!$C$24+Parameters!$C$25*A8)/Parameters!$C$5*1000000</f>
        <v>1.9588235294117646</v>
      </c>
      <c r="F8" s="12">
        <f>Parameters!$C$26/Parameters!$C$5*1000000</f>
        <v>4.7058823529411757</v>
      </c>
      <c r="G8" s="12">
        <f>Parameters!$C$32/Parameters!$C$5*1000000</f>
        <v>5.7058823529411766</v>
      </c>
      <c r="H8" s="12">
        <f>Parameters!$C$33/Parameters!$C$5*1000000</f>
        <v>1.2941176470588234</v>
      </c>
      <c r="I8" s="12">
        <f>2*3*(CEILING(LOG(A8,2),1)*(CEILING(LOG(A8,2),1)+1)/2)/Parameters!$C$37*1000000</f>
        <v>0.36</v>
      </c>
      <c r="J8" s="18">
        <f>Parameters!$C$6*1000000</f>
        <v>100</v>
      </c>
      <c r="K8" s="17">
        <f>1/(4*A8*Parameters!$C$9)*1000000</f>
        <v>714.28571428571433</v>
      </c>
      <c r="L8" s="17">
        <f>2*A8*Parameters!$C$28*1000000</f>
        <v>50.4</v>
      </c>
      <c r="M8" s="12">
        <f>2*A8*Parameters!$C$30*1000000</f>
        <v>0.56000000000000005</v>
      </c>
      <c r="N8" s="12">
        <f>Parameters!$C$29*1000000</f>
        <v>13.333333333333334</v>
      </c>
    </row>
    <row r="9" spans="1:14" x14ac:dyDescent="0.35">
      <c r="A9" s="13">
        <v>8</v>
      </c>
      <c r="B9" s="12">
        <f>(Parameters!$C$21*A9*(A9-1)+2*Parameters!$C$22*A9+Parameters!$C$23)/Parameters!$C$5*1000000</f>
        <v>5.2823529411764705</v>
      </c>
      <c r="C9" s="12">
        <f>(40*A9*LOG(A9,2)+10*A9+50)/Parameters!$C$5*1000000</f>
        <v>6.4117647058823533</v>
      </c>
      <c r="D9" s="12">
        <f>(200+6*A9)/Parameters!$C$5*1000000</f>
        <v>1.4588235294117649</v>
      </c>
      <c r="E9" s="12">
        <f>(Parameters!$C$24+Parameters!$C$25*A9)/Parameters!$C$5*1000000</f>
        <v>2.0705882352941178</v>
      </c>
      <c r="F9" s="12">
        <f>Parameters!$C$26/Parameters!$C$5*1000000</f>
        <v>4.7058823529411757</v>
      </c>
      <c r="G9" s="12">
        <f>Parameters!$C$32/Parameters!$C$5*1000000</f>
        <v>5.7058823529411766</v>
      </c>
      <c r="H9" s="12">
        <f>Parameters!$C$33/Parameters!$C$5*1000000</f>
        <v>1.2941176470588234</v>
      </c>
      <c r="I9" s="12">
        <f>2*3*(CEILING(LOG(A9,2),1)*(CEILING(LOG(A9,2),1)+1)/2)/Parameters!$C$37*1000000</f>
        <v>0.36</v>
      </c>
      <c r="J9" s="18">
        <f>Parameters!$C$6*1000000</f>
        <v>100</v>
      </c>
      <c r="K9" s="17">
        <f>1/(4*A9*Parameters!$C$9)*1000000</f>
        <v>625</v>
      </c>
      <c r="L9" s="17">
        <f>2*A9*Parameters!$C$28*1000000</f>
        <v>57.599999999999994</v>
      </c>
      <c r="M9" s="12">
        <f>2*A9*Parameters!$C$30*1000000</f>
        <v>0.64</v>
      </c>
      <c r="N9" s="12">
        <f>Parameters!$C$29*1000000</f>
        <v>13.333333333333334</v>
      </c>
    </row>
    <row r="10" spans="1:14" x14ac:dyDescent="0.35">
      <c r="A10" s="13">
        <v>9</v>
      </c>
      <c r="B10" s="12">
        <f>(Parameters!$C$21*A10*(A10-1)+2*Parameters!$C$22*A10+Parameters!$C$23)/Parameters!$C$5*1000000</f>
        <v>6.5411764705882351</v>
      </c>
      <c r="C10" s="12">
        <f>(40*A10*LOG(A10,2)+10*A10+50)/Parameters!$C$5*1000000</f>
        <v>7.5363117677601918</v>
      </c>
      <c r="D10" s="12">
        <f>(200+6*A10)/Parameters!$C$5*1000000</f>
        <v>1.4941176470588236</v>
      </c>
      <c r="E10" s="12">
        <f>(Parameters!$C$24+Parameters!$C$25*A10)/Parameters!$C$5*1000000</f>
        <v>2.1823529411764708</v>
      </c>
      <c r="F10" s="12">
        <f>Parameters!$C$26/Parameters!$C$5*1000000</f>
        <v>4.7058823529411757</v>
      </c>
      <c r="G10" s="12">
        <f>Parameters!$C$32/Parameters!$C$5*1000000</f>
        <v>5.7058823529411766</v>
      </c>
      <c r="H10" s="12">
        <f>Parameters!$C$33/Parameters!$C$5*1000000</f>
        <v>1.2941176470588234</v>
      </c>
      <c r="I10" s="12">
        <f>2*3*(CEILING(LOG(A10,2),1)*(CEILING(LOG(A10,2),1)+1)/2)/Parameters!$C$37*1000000</f>
        <v>0.6</v>
      </c>
      <c r="J10" s="18">
        <f>Parameters!$C$6*1000000</f>
        <v>100</v>
      </c>
      <c r="K10" s="17">
        <f>1/(4*A10*Parameters!$C$9)*1000000</f>
        <v>555.55555555555554</v>
      </c>
      <c r="L10" s="17">
        <f>2*A10*Parameters!$C$28*1000000</f>
        <v>64.8</v>
      </c>
      <c r="M10" s="12">
        <f>2*A10*Parameters!$C$30*1000000</f>
        <v>0.72</v>
      </c>
      <c r="N10" s="12">
        <f>Parameters!$C$29*1000000</f>
        <v>13.333333333333334</v>
      </c>
    </row>
    <row r="11" spans="1:14" x14ac:dyDescent="0.35">
      <c r="A11" s="13">
        <v>10</v>
      </c>
      <c r="B11" s="12">
        <f>(Parameters!$C$21*A11*(A11-1)+2*Parameters!$C$22*A11+Parameters!$C$23)/Parameters!$C$5*1000000</f>
        <v>7.9411764705882346</v>
      </c>
      <c r="C11" s="12">
        <f>(40*A11*LOG(A11,2)+10*A11+50)/Parameters!$C$5*1000000</f>
        <v>8.6986543409114407</v>
      </c>
      <c r="D11" s="12">
        <f>(200+6*A11)/Parameters!$C$5*1000000</f>
        <v>1.5294117647058822</v>
      </c>
      <c r="E11" s="12">
        <f>(Parameters!$C$24+Parameters!$C$25*A11)/Parameters!$C$5*1000000</f>
        <v>2.2941176470588234</v>
      </c>
      <c r="F11" s="12">
        <f>Parameters!$C$26/Parameters!$C$5*1000000</f>
        <v>4.7058823529411757</v>
      </c>
      <c r="G11" s="12">
        <f>Parameters!$C$32/Parameters!$C$5*1000000</f>
        <v>5.7058823529411766</v>
      </c>
      <c r="H11" s="12">
        <f>Parameters!$C$33/Parameters!$C$5*1000000</f>
        <v>1.2941176470588234</v>
      </c>
      <c r="I11" s="12">
        <f>2*3*(CEILING(LOG(A11,2),1)*(CEILING(LOG(A11,2),1)+1)/2)/Parameters!$C$37*1000000</f>
        <v>0.6</v>
      </c>
      <c r="J11" s="18">
        <f>Parameters!$C$6*1000000</f>
        <v>100</v>
      </c>
      <c r="K11" s="17">
        <f>1/(4*A11*Parameters!$C$9)*1000000</f>
        <v>500</v>
      </c>
      <c r="L11" s="17">
        <f>2*A11*Parameters!$C$28*1000000</f>
        <v>72</v>
      </c>
      <c r="M11" s="12">
        <f>2*A11*Parameters!$C$30*1000000</f>
        <v>0.79999999999999993</v>
      </c>
      <c r="N11" s="12">
        <f>Parameters!$C$29*1000000</f>
        <v>13.333333333333334</v>
      </c>
    </row>
    <row r="12" spans="1:14" x14ac:dyDescent="0.35">
      <c r="A12" s="13">
        <v>11</v>
      </c>
      <c r="B12" s="12">
        <f>(Parameters!$C$21*A12*(A12-1)+2*Parameters!$C$22*A12+Parameters!$C$23)/Parameters!$C$5*1000000</f>
        <v>9.4823529411764707</v>
      </c>
      <c r="C12" s="12">
        <f>(40*A12*LOG(A12,2)+10*A12+50)/Parameters!$C$5*1000000</f>
        <v>9.89499948353183</v>
      </c>
      <c r="D12" s="12">
        <f>(200+6*A12)/Parameters!$C$5*1000000</f>
        <v>1.5647058823529412</v>
      </c>
      <c r="E12" s="12">
        <f>(Parameters!$C$24+Parameters!$C$25*A12)/Parameters!$C$5*1000000</f>
        <v>2.4058823529411764</v>
      </c>
      <c r="F12" s="12">
        <f>Parameters!$C$26/Parameters!$C$5*1000000</f>
        <v>4.7058823529411757</v>
      </c>
      <c r="G12" s="12">
        <f>Parameters!$C$32/Parameters!$C$5*1000000</f>
        <v>5.7058823529411766</v>
      </c>
      <c r="H12" s="12">
        <f>Parameters!$C$33/Parameters!$C$5*1000000</f>
        <v>1.2941176470588234</v>
      </c>
      <c r="I12" s="12">
        <f>2*3*(CEILING(LOG(A12,2),1)*(CEILING(LOG(A12,2),1)+1)/2)/Parameters!$C$37*1000000</f>
        <v>0.6</v>
      </c>
      <c r="J12" s="18">
        <f>Parameters!$C$6*1000000</f>
        <v>100</v>
      </c>
      <c r="K12" s="17">
        <f>1/(4*A12*Parameters!$C$9)*1000000</f>
        <v>454.54545454545456</v>
      </c>
      <c r="L12" s="17">
        <f>2*A12*Parameters!$C$28*1000000</f>
        <v>79.2</v>
      </c>
      <c r="M12" s="12">
        <f>2*A12*Parameters!$C$30*1000000</f>
        <v>0.88</v>
      </c>
      <c r="N12" s="12">
        <f>Parameters!$C$29*1000000</f>
        <v>13.333333333333334</v>
      </c>
    </row>
    <row r="13" spans="1:14" x14ac:dyDescent="0.35">
      <c r="A13" s="13">
        <v>12</v>
      </c>
      <c r="B13" s="12">
        <f>(Parameters!$C$21*A13*(A13-1)+2*Parameters!$C$22*A13+Parameters!$C$23)/Parameters!$C$5*1000000</f>
        <v>11.164705882352941</v>
      </c>
      <c r="C13" s="12">
        <f>(40*A13*LOG(A13,2)+10*A13+50)/Parameters!$C$5*1000000</f>
        <v>11.122247060859737</v>
      </c>
      <c r="D13" s="12">
        <f>(200+6*A13)/Parameters!$C$5*1000000</f>
        <v>1.5999999999999999</v>
      </c>
      <c r="E13" s="12">
        <f>(Parameters!$C$24+Parameters!$C$25*A13)/Parameters!$C$5*1000000</f>
        <v>2.5176470588235293</v>
      </c>
      <c r="F13" s="12">
        <f>Parameters!$C$26/Parameters!$C$5*1000000</f>
        <v>4.7058823529411757</v>
      </c>
      <c r="G13" s="12">
        <f>Parameters!$C$32/Parameters!$C$5*1000000</f>
        <v>5.7058823529411766</v>
      </c>
      <c r="H13" s="12">
        <f>Parameters!$C$33/Parameters!$C$5*1000000</f>
        <v>1.2941176470588234</v>
      </c>
      <c r="I13" s="12">
        <f>2*3*(CEILING(LOG(A13,2),1)*(CEILING(LOG(A13,2),1)+1)/2)/Parameters!$C$37*1000000</f>
        <v>0.6</v>
      </c>
      <c r="J13" s="18">
        <f>Parameters!$C$6*1000000</f>
        <v>100</v>
      </c>
      <c r="K13" s="17">
        <f>1/(4*A13*Parameters!$C$9)*1000000</f>
        <v>416.66666666666669</v>
      </c>
      <c r="L13" s="17">
        <f>2*A13*Parameters!$C$28*1000000</f>
        <v>86.4</v>
      </c>
      <c r="M13" s="12">
        <f>2*A13*Parameters!$C$30*1000000</f>
        <v>0.96000000000000008</v>
      </c>
      <c r="N13" s="12">
        <f>Parameters!$C$29*1000000</f>
        <v>13.333333333333334</v>
      </c>
    </row>
    <row r="14" spans="1:14" x14ac:dyDescent="0.35">
      <c r="A14" s="13">
        <v>13</v>
      </c>
      <c r="B14" s="12">
        <f>(Parameters!$C$21*A14*(A14-1)+2*Parameters!$C$22*A14+Parameters!$C$23)/Parameters!$C$5*1000000</f>
        <v>12.988235294117647</v>
      </c>
      <c r="C14" s="12">
        <f>(40*A14*LOG(A14,2)+10*A14+50)/Parameters!$C$5*1000000</f>
        <v>12.377815608431577</v>
      </c>
      <c r="D14" s="12">
        <f>(200+6*A14)/Parameters!$C$5*1000000</f>
        <v>1.6352941176470588</v>
      </c>
      <c r="E14" s="12">
        <f>(Parameters!$C$24+Parameters!$C$25*A14)/Parameters!$C$5*1000000</f>
        <v>2.6294117647058823</v>
      </c>
      <c r="F14" s="12">
        <f>Parameters!$C$26/Parameters!$C$5*1000000</f>
        <v>4.7058823529411757</v>
      </c>
      <c r="G14" s="12">
        <f>Parameters!$C$32/Parameters!$C$5*1000000</f>
        <v>5.7058823529411766</v>
      </c>
      <c r="H14" s="12">
        <f>Parameters!$C$33/Parameters!$C$5*1000000</f>
        <v>1.2941176470588234</v>
      </c>
      <c r="I14" s="12">
        <f>2*3*(CEILING(LOG(A14,2),1)*(CEILING(LOG(A14,2),1)+1)/2)/Parameters!$C$37*1000000</f>
        <v>0.6</v>
      </c>
      <c r="J14" s="18">
        <f>Parameters!$C$6*1000000</f>
        <v>100</v>
      </c>
      <c r="K14" s="17">
        <f>1/(4*A14*Parameters!$C$9)*1000000</f>
        <v>384.61538461538464</v>
      </c>
      <c r="L14" s="17">
        <f>2*A14*Parameters!$C$28*1000000</f>
        <v>93.6</v>
      </c>
      <c r="M14" s="12">
        <f>2*A14*Parameters!$C$30*1000000</f>
        <v>1.04</v>
      </c>
      <c r="N14" s="12">
        <f>Parameters!$C$29*1000000</f>
        <v>13.333333333333334</v>
      </c>
    </row>
    <row r="15" spans="1:14" x14ac:dyDescent="0.35">
      <c r="A15" s="13">
        <v>14</v>
      </c>
      <c r="B15" s="12">
        <f>(Parameters!$C$21*A15*(A15-1)+2*Parameters!$C$22*A15+Parameters!$C$23)/Parameters!$C$5*1000000</f>
        <v>14.952941176470588</v>
      </c>
      <c r="C15" s="12">
        <f>(40*A15*LOG(A15,2)+10*A15+50)/Parameters!$C$5*1000000</f>
        <v>13.659522096189754</v>
      </c>
      <c r="D15" s="12">
        <f>(200+6*A15)/Parameters!$C$5*1000000</f>
        <v>1.6705882352941177</v>
      </c>
      <c r="E15" s="12">
        <f>(Parameters!$C$24+Parameters!$C$25*A15)/Parameters!$C$5*1000000</f>
        <v>2.7411764705882353</v>
      </c>
      <c r="F15" s="12">
        <f>Parameters!$C$26/Parameters!$C$5*1000000</f>
        <v>4.7058823529411757</v>
      </c>
      <c r="G15" s="12">
        <f>Parameters!$C$32/Parameters!$C$5*1000000</f>
        <v>5.7058823529411766</v>
      </c>
      <c r="H15" s="12">
        <f>Parameters!$C$33/Parameters!$C$5*1000000</f>
        <v>1.2941176470588234</v>
      </c>
      <c r="I15" s="12">
        <f>2*3*(CEILING(LOG(A15,2),1)*(CEILING(LOG(A15,2),1)+1)/2)/Parameters!$C$37*1000000</f>
        <v>0.6</v>
      </c>
      <c r="J15" s="18">
        <f>Parameters!$C$6*1000000</f>
        <v>100</v>
      </c>
      <c r="K15" s="17">
        <f>1/(4*A15*Parameters!$C$9)*1000000</f>
        <v>357.14285714285717</v>
      </c>
      <c r="L15" s="17">
        <f>2*A15*Parameters!$C$28*1000000</f>
        <v>100.8</v>
      </c>
      <c r="M15" s="12">
        <f>2*A15*Parameters!$C$30*1000000</f>
        <v>1.1200000000000001</v>
      </c>
      <c r="N15" s="12">
        <f>Parameters!$C$29*1000000</f>
        <v>13.333333333333334</v>
      </c>
    </row>
    <row r="16" spans="1:14" x14ac:dyDescent="0.35">
      <c r="A16" s="13">
        <v>15</v>
      </c>
      <c r="B16" s="12">
        <f>(Parameters!$C$21*A16*(A16-1)+2*Parameters!$C$22*A16+Parameters!$C$23)/Parameters!$C$5*1000000</f>
        <v>17.058823529411764</v>
      </c>
      <c r="C16" s="12">
        <f>(40*A16*LOG(A16,2)+10*A16+50)/Parameters!$C$5*1000000</f>
        <v>14.965496219794773</v>
      </c>
      <c r="D16" s="12">
        <f>(200+6*A16)/Parameters!$C$5*1000000</f>
        <v>1.7058823529411764</v>
      </c>
      <c r="E16" s="12">
        <f>(Parameters!$C$24+Parameters!$C$25*A16)/Parameters!$C$5*1000000</f>
        <v>2.8529411764705883</v>
      </c>
      <c r="F16" s="12">
        <f>Parameters!$C$26/Parameters!$C$5*1000000</f>
        <v>4.7058823529411757</v>
      </c>
      <c r="G16" s="12">
        <f>Parameters!$C$32/Parameters!$C$5*1000000</f>
        <v>5.7058823529411766</v>
      </c>
      <c r="H16" s="12">
        <f>Parameters!$C$33/Parameters!$C$5*1000000</f>
        <v>1.2941176470588234</v>
      </c>
      <c r="I16" s="12">
        <f>2*3*(CEILING(LOG(A16,2),1)*(CEILING(LOG(A16,2),1)+1)/2)/Parameters!$C$37*1000000</f>
        <v>0.6</v>
      </c>
      <c r="J16" s="18">
        <f>Parameters!$C$6*1000000</f>
        <v>100</v>
      </c>
      <c r="K16" s="17">
        <f>1/(4*A16*Parameters!$C$9)*1000000</f>
        <v>333.33333333333331</v>
      </c>
      <c r="L16" s="17">
        <f>2*A16*Parameters!$C$28*1000000</f>
        <v>108</v>
      </c>
      <c r="M16" s="12">
        <f>2*A16*Parameters!$C$30*1000000</f>
        <v>1.2</v>
      </c>
      <c r="N16" s="12">
        <f>Parameters!$C$29*1000000</f>
        <v>13.333333333333334</v>
      </c>
    </row>
    <row r="17" spans="1:14" x14ac:dyDescent="0.35">
      <c r="A17" s="13">
        <v>16</v>
      </c>
      <c r="B17" s="12">
        <f>(Parameters!$C$21*A17*(A17-1)+2*Parameters!$C$22*A17+Parameters!$C$23)/Parameters!$C$5*1000000</f>
        <v>19.305882352941175</v>
      </c>
      <c r="C17" s="12">
        <f>(40*A17*LOG(A17,2)+10*A17+50)/Parameters!$C$5*1000000</f>
        <v>16.294117647058822</v>
      </c>
      <c r="D17" s="12">
        <f>(200+6*A17)/Parameters!$C$5*1000000</f>
        <v>1.7411764705882353</v>
      </c>
      <c r="E17" s="12">
        <f>(Parameters!$C$24+Parameters!$C$25*A17)/Parameters!$C$5*1000000</f>
        <v>2.9647058823529409</v>
      </c>
      <c r="F17" s="12">
        <f>Parameters!$C$26/Parameters!$C$5*1000000</f>
        <v>4.7058823529411757</v>
      </c>
      <c r="G17" s="12">
        <f>Parameters!$C$32/Parameters!$C$5*1000000</f>
        <v>5.7058823529411766</v>
      </c>
      <c r="H17" s="12">
        <f>Parameters!$C$33/Parameters!$C$5*1000000</f>
        <v>1.2941176470588234</v>
      </c>
      <c r="I17" s="12">
        <f>2*3*(CEILING(LOG(A17,2),1)*(CEILING(LOG(A17,2),1)+1)/2)/Parameters!$C$37*1000000</f>
        <v>0.6</v>
      </c>
      <c r="J17" s="18">
        <f>Parameters!$C$6*1000000</f>
        <v>100</v>
      </c>
      <c r="K17" s="17">
        <f>1/(4*A17*Parameters!$C$9)*1000000</f>
        <v>312.5</v>
      </c>
      <c r="L17" s="17">
        <f>2*A17*Parameters!$C$28*1000000</f>
        <v>115.19999999999999</v>
      </c>
      <c r="M17" s="12">
        <f>2*A17*Parameters!$C$30*1000000</f>
        <v>1.28</v>
      </c>
      <c r="N17" s="12">
        <f>Parameters!$C$29*1000000</f>
        <v>13.333333333333334</v>
      </c>
    </row>
    <row r="18" spans="1:14" x14ac:dyDescent="0.35">
      <c r="A18" s="13">
        <v>17</v>
      </c>
      <c r="B18" s="12">
        <f>(Parameters!$C$21*A18*(A18-1)+2*Parameters!$C$22*A18+Parameters!$C$23)/Parameters!$C$5*1000000</f>
        <v>21.694117647058821</v>
      </c>
      <c r="C18" s="12">
        <f>(40*A18*LOG(A18,2)+10*A18+50)/Parameters!$C$5*1000000</f>
        <v>17.643969012060182</v>
      </c>
      <c r="D18" s="12">
        <f>(200+6*A18)/Parameters!$C$5*1000000</f>
        <v>1.7764705882352942</v>
      </c>
      <c r="E18" s="12">
        <f>(Parameters!$C$24+Parameters!$C$25*A18)/Parameters!$C$5*1000000</f>
        <v>3.0764705882352938</v>
      </c>
      <c r="F18" s="12">
        <f>Parameters!$C$26/Parameters!$C$5*1000000</f>
        <v>4.7058823529411757</v>
      </c>
      <c r="G18" s="12">
        <f>Parameters!$C$32/Parameters!$C$5*1000000</f>
        <v>5.7058823529411766</v>
      </c>
      <c r="H18" s="12">
        <f>Parameters!$C$33/Parameters!$C$5*1000000</f>
        <v>1.2941176470588234</v>
      </c>
      <c r="I18" s="12">
        <f>2*3*(CEILING(LOG(A18,2),1)*(CEILING(LOG(A18,2),1)+1)/2)/Parameters!$C$37*1000000</f>
        <v>0.89999999999999991</v>
      </c>
      <c r="J18" s="18">
        <f>Parameters!$C$6*1000000</f>
        <v>100</v>
      </c>
      <c r="K18" s="17">
        <f>1/(4*A18*Parameters!$C$9)*1000000</f>
        <v>294.11764705882348</v>
      </c>
      <c r="L18" s="17">
        <f>2*A18*Parameters!$C$28*1000000</f>
        <v>122.39999999999999</v>
      </c>
      <c r="M18" s="12">
        <f>2*A18*Parameters!$C$30*1000000</f>
        <v>1.36</v>
      </c>
      <c r="N18" s="12">
        <f>Parameters!$C$29*1000000</f>
        <v>13.333333333333334</v>
      </c>
    </row>
    <row r="19" spans="1:14" x14ac:dyDescent="0.35">
      <c r="A19" s="13">
        <v>18</v>
      </c>
      <c r="B19" s="12">
        <f>(Parameters!$C$21*A19*(A19-1)+2*Parameters!$C$22*A19+Parameters!$C$23)/Parameters!$C$5*1000000</f>
        <v>24.223529411764705</v>
      </c>
      <c r="C19" s="12">
        <f>(40*A19*LOG(A19,2)+10*A19+50)/Parameters!$C$5*1000000</f>
        <v>19.013800006108617</v>
      </c>
      <c r="D19" s="12">
        <f>(200+6*A19)/Parameters!$C$5*1000000</f>
        <v>1.8117647058823529</v>
      </c>
      <c r="E19" s="12">
        <f>(Parameters!$C$24+Parameters!$C$25*A19)/Parameters!$C$5*1000000</f>
        <v>3.1882352941176473</v>
      </c>
      <c r="F19" s="12">
        <f>Parameters!$C$26/Parameters!$C$5*1000000</f>
        <v>4.7058823529411757</v>
      </c>
      <c r="G19" s="12">
        <f>Parameters!$C$32/Parameters!$C$5*1000000</f>
        <v>5.7058823529411766</v>
      </c>
      <c r="H19" s="12">
        <f>Parameters!$C$33/Parameters!$C$5*1000000</f>
        <v>1.2941176470588234</v>
      </c>
      <c r="I19" s="12">
        <f>2*3*(CEILING(LOG(A19,2),1)*(CEILING(LOG(A19,2),1)+1)/2)/Parameters!$C$37*1000000</f>
        <v>0.89999999999999991</v>
      </c>
      <c r="J19" s="18">
        <f>Parameters!$C$6*1000000</f>
        <v>100</v>
      </c>
      <c r="K19" s="17">
        <f>1/(4*A19*Parameters!$C$9)*1000000</f>
        <v>277.77777777777777</v>
      </c>
      <c r="L19" s="17">
        <f>2*A19*Parameters!$C$28*1000000</f>
        <v>129.6</v>
      </c>
      <c r="M19" s="12">
        <f>2*A19*Parameters!$C$30*1000000</f>
        <v>1.44</v>
      </c>
      <c r="N19" s="12">
        <f>Parameters!$C$29*1000000</f>
        <v>13.333333333333334</v>
      </c>
    </row>
    <row r="20" spans="1:14" x14ac:dyDescent="0.35">
      <c r="A20" s="13">
        <v>19</v>
      </c>
      <c r="B20" s="12">
        <f>(Parameters!$C$21*A20*(A20-1)+2*Parameters!$C$22*A20+Parameters!$C$23)/Parameters!$C$5*1000000</f>
        <v>26.894117647058824</v>
      </c>
      <c r="C20" s="12">
        <f>(40*A20*LOG(A20,2)+10*A20+50)/Parameters!$C$5*1000000</f>
        <v>20.40249947186544</v>
      </c>
      <c r="D20" s="12">
        <f>(200+6*A20)/Parameters!$C$5*1000000</f>
        <v>1.8470588235294119</v>
      </c>
      <c r="E20" s="12">
        <f>(Parameters!$C$24+Parameters!$C$25*A20)/Parameters!$C$5*1000000</f>
        <v>3.3000000000000003</v>
      </c>
      <c r="F20" s="12">
        <f>Parameters!$C$26/Parameters!$C$5*1000000</f>
        <v>4.7058823529411757</v>
      </c>
      <c r="G20" s="12">
        <f>Parameters!$C$32/Parameters!$C$5*1000000</f>
        <v>5.7058823529411766</v>
      </c>
      <c r="H20" s="12">
        <f>Parameters!$C$33/Parameters!$C$5*1000000</f>
        <v>1.2941176470588234</v>
      </c>
      <c r="I20" s="12">
        <f>2*3*(CEILING(LOG(A20,2),1)*(CEILING(LOG(A20,2),1)+1)/2)/Parameters!$C$37*1000000</f>
        <v>0.89999999999999991</v>
      </c>
      <c r="J20" s="18">
        <f>Parameters!$C$6*1000000</f>
        <v>100</v>
      </c>
      <c r="K20" s="17">
        <f>1/(4*A20*Parameters!$C$9)*1000000</f>
        <v>263.15789473684208</v>
      </c>
      <c r="L20" s="17">
        <f>2*A20*Parameters!$C$28*1000000</f>
        <v>136.79999999999998</v>
      </c>
      <c r="M20" s="12">
        <f>2*A20*Parameters!$C$30*1000000</f>
        <v>1.52</v>
      </c>
      <c r="N20" s="12">
        <f>Parameters!$C$29*1000000</f>
        <v>13.333333333333334</v>
      </c>
    </row>
    <row r="21" spans="1:14" x14ac:dyDescent="0.35">
      <c r="A21" s="13">
        <v>20</v>
      </c>
      <c r="B21" s="12">
        <f>(Parameters!$C$21*A21*(A21-1)+2*Parameters!$C$22*A21+Parameters!$C$23)/Parameters!$C$5*1000000</f>
        <v>29.705882352941178</v>
      </c>
      <c r="C21" s="12">
        <f>(40*A21*LOG(A21,2)+10*A21+50)/Parameters!$C$5*1000000</f>
        <v>21.809073387705237</v>
      </c>
      <c r="D21" s="12">
        <f>(200+6*A21)/Parameters!$C$5*1000000</f>
        <v>1.8823529411764708</v>
      </c>
      <c r="E21" s="12">
        <f>(Parameters!$C$24+Parameters!$C$25*A21)/Parameters!$C$5*1000000</f>
        <v>3.4117647058823528</v>
      </c>
      <c r="F21" s="12">
        <f>Parameters!$C$26/Parameters!$C$5*1000000</f>
        <v>4.7058823529411757</v>
      </c>
      <c r="G21" s="12">
        <f>Parameters!$C$32/Parameters!$C$5*1000000</f>
        <v>5.7058823529411766</v>
      </c>
      <c r="H21" s="12">
        <f>Parameters!$C$33/Parameters!$C$5*1000000</f>
        <v>1.2941176470588234</v>
      </c>
      <c r="I21" s="12">
        <f>2*3*(CEILING(LOG(A21,2),1)*(CEILING(LOG(A21,2),1)+1)/2)/Parameters!$C$37*1000000</f>
        <v>0.89999999999999991</v>
      </c>
      <c r="J21" s="18">
        <f>Parameters!$C$6*1000000</f>
        <v>100</v>
      </c>
      <c r="K21" s="17">
        <f>1/(4*A21*Parameters!$C$9)*1000000</f>
        <v>250</v>
      </c>
      <c r="L21" s="17">
        <f>2*A21*Parameters!$C$28*1000000</f>
        <v>144</v>
      </c>
      <c r="M21" s="12">
        <f>2*A21*Parameters!$C$30*1000000</f>
        <v>1.5999999999999999</v>
      </c>
      <c r="N21" s="12">
        <f>Parameters!$C$29*1000000</f>
        <v>13.333333333333334</v>
      </c>
    </row>
    <row r="22" spans="1:14" x14ac:dyDescent="0.35">
      <c r="A22" s="13">
        <v>21</v>
      </c>
      <c r="B22" s="12">
        <f>(Parameters!$C$21*A22*(A22-1)+2*Parameters!$C$22*A22+Parameters!$C$23)/Parameters!$C$5*1000000</f>
        <v>32.658823529411762</v>
      </c>
      <c r="C22" s="12">
        <f>(40*A22*LOG(A22,2)+10*A22+50)/Parameters!$C$5*1000000</f>
        <v>23.232627265495054</v>
      </c>
      <c r="D22" s="12">
        <f>(200+6*A22)/Parameters!$C$5*1000000</f>
        <v>1.9176470588235293</v>
      </c>
      <c r="E22" s="12">
        <f>(Parameters!$C$24+Parameters!$C$25*A22)/Parameters!$C$5*1000000</f>
        <v>3.5235294117647058</v>
      </c>
      <c r="F22" s="12">
        <f>Parameters!$C$26/Parameters!$C$5*1000000</f>
        <v>4.7058823529411757</v>
      </c>
      <c r="G22" s="12">
        <f>Parameters!$C$32/Parameters!$C$5*1000000</f>
        <v>5.7058823529411766</v>
      </c>
      <c r="H22" s="12">
        <f>Parameters!$C$33/Parameters!$C$5*1000000</f>
        <v>1.2941176470588234</v>
      </c>
      <c r="I22" s="12">
        <f>2*3*(CEILING(LOG(A22,2),1)*(CEILING(LOG(A22,2),1)+1)/2)/Parameters!$C$37*1000000</f>
        <v>0.89999999999999991</v>
      </c>
      <c r="J22" s="18">
        <f>Parameters!$C$6*1000000</f>
        <v>100</v>
      </c>
      <c r="K22" s="17">
        <f>1/(4*A22*Parameters!$C$9)*1000000</f>
        <v>238.0952380952381</v>
      </c>
      <c r="L22" s="17">
        <f>2*A22*Parameters!$C$28*1000000</f>
        <v>151.19999999999999</v>
      </c>
      <c r="M22" s="12">
        <f>2*A22*Parameters!$C$30*1000000</f>
        <v>1.68</v>
      </c>
      <c r="N22" s="12">
        <f>Parameters!$C$29*1000000</f>
        <v>13.333333333333334</v>
      </c>
    </row>
    <row r="23" spans="1:14" x14ac:dyDescent="0.35">
      <c r="A23" s="13">
        <v>22</v>
      </c>
      <c r="B23" s="12">
        <f>(Parameters!$C$21*A23*(A23-1)+2*Parameters!$C$22*A23+Parameters!$C$23)/Parameters!$C$5*1000000</f>
        <v>35.752941176470586</v>
      </c>
      <c r="C23" s="12">
        <f>(40*A23*LOG(A23,2)+10*A23+50)/Parameters!$C$5*1000000</f>
        <v>24.672351908240124</v>
      </c>
      <c r="D23" s="12">
        <f>(200+6*A23)/Parameters!$C$5*1000000</f>
        <v>1.952941176470588</v>
      </c>
      <c r="E23" s="12">
        <f>(Parameters!$C$24+Parameters!$C$25*A23)/Parameters!$C$5*1000000</f>
        <v>3.6352941176470588</v>
      </c>
      <c r="F23" s="12">
        <f>Parameters!$C$26/Parameters!$C$5*1000000</f>
        <v>4.7058823529411757</v>
      </c>
      <c r="G23" s="12">
        <f>Parameters!$C$32/Parameters!$C$5*1000000</f>
        <v>5.7058823529411766</v>
      </c>
      <c r="H23" s="12">
        <f>Parameters!$C$33/Parameters!$C$5*1000000</f>
        <v>1.2941176470588234</v>
      </c>
      <c r="I23" s="12">
        <f>2*3*(CEILING(LOG(A23,2),1)*(CEILING(LOG(A23,2),1)+1)/2)/Parameters!$C$37*1000000</f>
        <v>0.89999999999999991</v>
      </c>
      <c r="J23" s="18">
        <f>Parameters!$C$6*1000000</f>
        <v>100</v>
      </c>
      <c r="K23" s="17">
        <f>1/(4*A23*Parameters!$C$9)*1000000</f>
        <v>227.27272727272728</v>
      </c>
      <c r="L23" s="17">
        <f>2*A23*Parameters!$C$28*1000000</f>
        <v>158.4</v>
      </c>
      <c r="M23" s="12">
        <f>2*A23*Parameters!$C$30*1000000</f>
        <v>1.76</v>
      </c>
      <c r="N23" s="12">
        <f>Parameters!$C$29*1000000</f>
        <v>13.333333333333334</v>
      </c>
    </row>
    <row r="24" spans="1:14" x14ac:dyDescent="0.35">
      <c r="A24" s="13">
        <v>23</v>
      </c>
      <c r="B24" s="12">
        <f>(Parameters!$C$21*A24*(A24-1)+2*Parameters!$C$22*A24+Parameters!$C$23)/Parameters!$C$5*1000000</f>
        <v>38.988235294117644</v>
      </c>
      <c r="C24" s="12">
        <f>(40*A24*LOG(A24,2)+10*A24+50)/Parameters!$C$5*1000000</f>
        <v>26.127511762190892</v>
      </c>
      <c r="D24" s="12">
        <f>(200+6*A24)/Parameters!$C$5*1000000</f>
        <v>1.9882352941176471</v>
      </c>
      <c r="E24" s="12">
        <f>(Parameters!$C$24+Parameters!$C$25*A24)/Parameters!$C$5*1000000</f>
        <v>3.7470588235294118</v>
      </c>
      <c r="F24" s="12">
        <f>Parameters!$C$26/Parameters!$C$5*1000000</f>
        <v>4.7058823529411757</v>
      </c>
      <c r="G24" s="12">
        <f>Parameters!$C$32/Parameters!$C$5*1000000</f>
        <v>5.7058823529411766</v>
      </c>
      <c r="H24" s="12">
        <f>Parameters!$C$33/Parameters!$C$5*1000000</f>
        <v>1.2941176470588234</v>
      </c>
      <c r="I24" s="12">
        <f>2*3*(CEILING(LOG(A24,2),1)*(CEILING(LOG(A24,2),1)+1)/2)/Parameters!$C$37*1000000</f>
        <v>0.89999999999999991</v>
      </c>
      <c r="J24" s="18">
        <f>Parameters!$C$6*1000000</f>
        <v>100</v>
      </c>
      <c r="K24" s="17">
        <f>1/(4*A24*Parameters!$C$9)*1000000</f>
        <v>217.39130434782609</v>
      </c>
      <c r="L24" s="17">
        <f>2*A24*Parameters!$C$28*1000000</f>
        <v>165.6</v>
      </c>
      <c r="M24" s="12">
        <f>2*A24*Parameters!$C$30*1000000</f>
        <v>1.8399999999999999</v>
      </c>
      <c r="N24" s="12">
        <f>Parameters!$C$29*1000000</f>
        <v>13.333333333333334</v>
      </c>
    </row>
    <row r="25" spans="1:14" x14ac:dyDescent="0.35">
      <c r="A25" s="13">
        <v>24</v>
      </c>
      <c r="B25" s="12">
        <f>(Parameters!$C$21*A25*(A25-1)+2*Parameters!$C$22*A25+Parameters!$C$23)/Parameters!$C$5*1000000</f>
        <v>42.364705882352936</v>
      </c>
      <c r="C25" s="12">
        <f>(40*A25*LOG(A25,2)+10*A25+50)/Parameters!$C$5*1000000</f>
        <v>27.59743529819006</v>
      </c>
      <c r="D25" s="12">
        <f>(200+6*A25)/Parameters!$C$5*1000000</f>
        <v>2.0235294117647058</v>
      </c>
      <c r="E25" s="12">
        <f>(Parameters!$C$24+Parameters!$C$25*A25)/Parameters!$C$5*1000000</f>
        <v>3.8588235294117652</v>
      </c>
      <c r="F25" s="12">
        <f>Parameters!$C$26/Parameters!$C$5*1000000</f>
        <v>4.7058823529411757</v>
      </c>
      <c r="G25" s="12">
        <f>Parameters!$C$32/Parameters!$C$5*1000000</f>
        <v>5.7058823529411766</v>
      </c>
      <c r="H25" s="12">
        <f>Parameters!$C$33/Parameters!$C$5*1000000</f>
        <v>1.2941176470588234</v>
      </c>
      <c r="I25" s="12">
        <f>2*3*(CEILING(LOG(A25,2),1)*(CEILING(LOG(A25,2),1)+1)/2)/Parameters!$C$37*1000000</f>
        <v>0.89999999999999991</v>
      </c>
      <c r="J25" s="18">
        <f>Parameters!$C$6*1000000</f>
        <v>100</v>
      </c>
      <c r="K25" s="17">
        <f>1/(4*A25*Parameters!$C$9)*1000000</f>
        <v>208.33333333333334</v>
      </c>
      <c r="L25" s="17">
        <f>2*A25*Parameters!$C$28*1000000</f>
        <v>172.8</v>
      </c>
      <c r="M25" s="12">
        <f>2*A25*Parameters!$C$30*1000000</f>
        <v>1.9200000000000002</v>
      </c>
      <c r="N25" s="12">
        <f>Parameters!$C$29*1000000</f>
        <v>13.333333333333334</v>
      </c>
    </row>
    <row r="26" spans="1:14" x14ac:dyDescent="0.35">
      <c r="A26" s="13">
        <v>25</v>
      </c>
      <c r="B26" s="12">
        <f>(Parameters!$C$21*A26*(A26-1)+2*Parameters!$C$22*A26+Parameters!$C$23)/Parameters!$C$5*1000000</f>
        <v>45.882352941176471</v>
      </c>
      <c r="C26" s="12">
        <f>(40*A26*LOG(A26,2)+10*A26+50)/Parameters!$C$5*1000000</f>
        <v>29.081506998674847</v>
      </c>
      <c r="D26" s="12">
        <f>(200+6*A26)/Parameters!$C$5*1000000</f>
        <v>2.0588235294117645</v>
      </c>
      <c r="E26" s="12">
        <f>(Parameters!$C$24+Parameters!$C$25*A26)/Parameters!$C$5*1000000</f>
        <v>3.9705882352941173</v>
      </c>
      <c r="F26" s="12">
        <f>Parameters!$C$26/Parameters!$C$5*1000000</f>
        <v>4.7058823529411757</v>
      </c>
      <c r="G26" s="12">
        <f>Parameters!$C$32/Parameters!$C$5*1000000</f>
        <v>5.7058823529411766</v>
      </c>
      <c r="H26" s="12">
        <f>Parameters!$C$33/Parameters!$C$5*1000000</f>
        <v>1.2941176470588234</v>
      </c>
      <c r="I26" s="12">
        <f>2*3*(CEILING(LOG(A26,2),1)*(CEILING(LOG(A26,2),1)+1)/2)/Parameters!$C$37*1000000</f>
        <v>0.89999999999999991</v>
      </c>
      <c r="J26" s="18">
        <f>Parameters!$C$6*1000000</f>
        <v>100</v>
      </c>
      <c r="K26" s="17">
        <f>1/(4*A26*Parameters!$C$9)*1000000</f>
        <v>200</v>
      </c>
      <c r="L26" s="17">
        <f>2*A26*Parameters!$C$28*1000000</f>
        <v>179.99999999999997</v>
      </c>
      <c r="M26" s="12">
        <f>2*A26*Parameters!$C$30*1000000</f>
        <v>2</v>
      </c>
      <c r="N26" s="12">
        <f>Parameters!$C$29*1000000</f>
        <v>13.333333333333334</v>
      </c>
    </row>
    <row r="27" spans="1:14" x14ac:dyDescent="0.35">
      <c r="A27" s="13">
        <v>26</v>
      </c>
      <c r="B27" s="12">
        <f>(Parameters!$C$21*A27*(A27-1)+2*Parameters!$C$22*A27+Parameters!$C$23)/Parameters!$C$5*1000000</f>
        <v>49.541176470588233</v>
      </c>
      <c r="C27" s="12">
        <f>(40*A27*LOG(A27,2)+10*A27+50)/Parameters!$C$5*1000000</f>
        <v>30.579160628627857</v>
      </c>
      <c r="D27" s="12">
        <f>(200+6*A27)/Parameters!$C$5*1000000</f>
        <v>2.0941176470588236</v>
      </c>
      <c r="E27" s="12">
        <f>(Parameters!$C$24+Parameters!$C$25*A27)/Parameters!$C$5*1000000</f>
        <v>4.0823529411764703</v>
      </c>
      <c r="F27" s="12">
        <f>Parameters!$C$26/Parameters!$C$5*1000000</f>
        <v>4.7058823529411757</v>
      </c>
      <c r="G27" s="12">
        <f>Parameters!$C$32/Parameters!$C$5*1000000</f>
        <v>5.7058823529411766</v>
      </c>
      <c r="H27" s="12">
        <f>Parameters!$C$33/Parameters!$C$5*1000000</f>
        <v>1.2941176470588234</v>
      </c>
      <c r="I27" s="12">
        <f>2*3*(CEILING(LOG(A27,2),1)*(CEILING(LOG(A27,2),1)+1)/2)/Parameters!$C$37*1000000</f>
        <v>0.89999999999999991</v>
      </c>
      <c r="J27" s="18">
        <f>Parameters!$C$6*1000000</f>
        <v>100</v>
      </c>
      <c r="K27" s="17">
        <f>1/(4*A27*Parameters!$C$9)*1000000</f>
        <v>192.30769230769232</v>
      </c>
      <c r="L27" s="17">
        <f>2*A27*Parameters!$C$28*1000000</f>
        <v>187.2</v>
      </c>
      <c r="M27" s="12">
        <f>2*A27*Parameters!$C$30*1000000</f>
        <v>2.08</v>
      </c>
      <c r="N27" s="12">
        <f>Parameters!$C$29*1000000</f>
        <v>13.333333333333334</v>
      </c>
    </row>
    <row r="28" spans="1:14" x14ac:dyDescent="0.35">
      <c r="A28" s="13">
        <v>27</v>
      </c>
      <c r="B28" s="12">
        <f>(Parameters!$C$21*A28*(A28-1)+2*Parameters!$C$22*A28+Parameters!$C$23)/Parameters!$C$5*1000000</f>
        <v>53.341176470588231</v>
      </c>
      <c r="C28" s="12">
        <f>(40*A28*LOG(A28,2)+10*A28+50)/Parameters!$C$5*1000000</f>
        <v>32.089873543156159</v>
      </c>
      <c r="D28" s="12">
        <f>(200+6*A28)/Parameters!$C$5*1000000</f>
        <v>2.1294117647058823</v>
      </c>
      <c r="E28" s="12">
        <f>(Parameters!$C$24+Parameters!$C$25*A28)/Parameters!$C$5*1000000</f>
        <v>4.1941176470588237</v>
      </c>
      <c r="F28" s="12">
        <f>Parameters!$C$26/Parameters!$C$5*1000000</f>
        <v>4.7058823529411757</v>
      </c>
      <c r="G28" s="12">
        <f>Parameters!$C$32/Parameters!$C$5*1000000</f>
        <v>5.7058823529411766</v>
      </c>
      <c r="H28" s="12">
        <f>Parameters!$C$33/Parameters!$C$5*1000000</f>
        <v>1.2941176470588234</v>
      </c>
      <c r="I28" s="12">
        <f>2*3*(CEILING(LOG(A28,2),1)*(CEILING(LOG(A28,2),1)+1)/2)/Parameters!$C$37*1000000</f>
        <v>0.89999999999999991</v>
      </c>
      <c r="J28" s="18">
        <f>Parameters!$C$6*1000000</f>
        <v>100</v>
      </c>
      <c r="K28" s="17">
        <f>1/(4*A28*Parameters!$C$9)*1000000</f>
        <v>185.18518518518516</v>
      </c>
      <c r="L28" s="17">
        <f>2*A28*Parameters!$C$28*1000000</f>
        <v>194.39999999999998</v>
      </c>
      <c r="M28" s="12">
        <f>2*A28*Parameters!$C$30*1000000</f>
        <v>2.16</v>
      </c>
      <c r="N28" s="12">
        <f>Parameters!$C$29*1000000</f>
        <v>13.333333333333334</v>
      </c>
    </row>
    <row r="29" spans="1:14" x14ac:dyDescent="0.35">
      <c r="A29" s="13">
        <v>28</v>
      </c>
      <c r="B29" s="12">
        <f>(Parameters!$C$21*A29*(A29-1)+2*Parameters!$C$22*A29+Parameters!$C$23)/Parameters!$C$5*1000000</f>
        <v>57.28235294117647</v>
      </c>
      <c r="C29" s="12">
        <f>(40*A29*LOG(A29,2)+10*A29+50)/Parameters!$C$5*1000000</f>
        <v>33.613161839438334</v>
      </c>
      <c r="D29" s="12">
        <f>(200+6*A29)/Parameters!$C$5*1000000</f>
        <v>2.164705882352941</v>
      </c>
      <c r="E29" s="12">
        <f>(Parameters!$C$24+Parameters!$C$25*A29)/Parameters!$C$5*1000000</f>
        <v>4.3058823529411763</v>
      </c>
      <c r="F29" s="12">
        <f>Parameters!$C$26/Parameters!$C$5*1000000</f>
        <v>4.7058823529411757</v>
      </c>
      <c r="G29" s="12">
        <f>Parameters!$C$32/Parameters!$C$5*1000000</f>
        <v>5.7058823529411766</v>
      </c>
      <c r="H29" s="12">
        <f>Parameters!$C$33/Parameters!$C$5*1000000</f>
        <v>1.2941176470588234</v>
      </c>
      <c r="I29" s="12">
        <f>2*3*(CEILING(LOG(A29,2),1)*(CEILING(LOG(A29,2),1)+1)/2)/Parameters!$C$37*1000000</f>
        <v>0.89999999999999991</v>
      </c>
      <c r="J29" s="18">
        <f>Parameters!$C$6*1000000</f>
        <v>100</v>
      </c>
      <c r="K29" s="17">
        <f>1/(4*A29*Parameters!$C$9)*1000000</f>
        <v>178.57142857142858</v>
      </c>
      <c r="L29" s="17">
        <f>2*A29*Parameters!$C$28*1000000</f>
        <v>201.6</v>
      </c>
      <c r="M29" s="12">
        <f>2*A29*Parameters!$C$30*1000000</f>
        <v>2.2400000000000002</v>
      </c>
      <c r="N29" s="12">
        <f>Parameters!$C$29*1000000</f>
        <v>13.333333333333334</v>
      </c>
    </row>
    <row r="30" spans="1:14" x14ac:dyDescent="0.35">
      <c r="A30" s="13">
        <v>29</v>
      </c>
      <c r="B30" s="12">
        <f>(Parameters!$C$21*A30*(A30-1)+2*Parameters!$C$22*A30+Parameters!$C$23)/Parameters!$C$5*1000000</f>
        <v>61.364705882352936</v>
      </c>
      <c r="C30" s="12">
        <f>(40*A30*LOG(A30,2)+10*A30+50)/Parameters!$C$5*1000000</f>
        <v>35.148576202046968</v>
      </c>
      <c r="D30" s="12">
        <f>(200+6*A30)/Parameters!$C$5*1000000</f>
        <v>2.2000000000000002</v>
      </c>
      <c r="E30" s="12">
        <f>(Parameters!$C$24+Parameters!$C$25*A30)/Parameters!$C$5*1000000</f>
        <v>4.4176470588235297</v>
      </c>
      <c r="F30" s="12">
        <f>Parameters!$C$26/Parameters!$C$5*1000000</f>
        <v>4.7058823529411757</v>
      </c>
      <c r="G30" s="12">
        <f>Parameters!$C$32/Parameters!$C$5*1000000</f>
        <v>5.7058823529411766</v>
      </c>
      <c r="H30" s="12">
        <f>Parameters!$C$33/Parameters!$C$5*1000000</f>
        <v>1.2941176470588234</v>
      </c>
      <c r="I30" s="12">
        <f>2*3*(CEILING(LOG(A30,2),1)*(CEILING(LOG(A30,2),1)+1)/2)/Parameters!$C$37*1000000</f>
        <v>0.89999999999999991</v>
      </c>
      <c r="J30" s="18">
        <f>Parameters!$C$6*1000000</f>
        <v>100</v>
      </c>
      <c r="K30" s="17">
        <f>1/(4*A30*Parameters!$C$9)*1000000</f>
        <v>172.41379310344826</v>
      </c>
      <c r="L30" s="17">
        <f>2*A30*Parameters!$C$28*1000000</f>
        <v>208.79999999999998</v>
      </c>
      <c r="M30" s="12">
        <f>2*A30*Parameters!$C$30*1000000</f>
        <v>2.3200000000000003</v>
      </c>
      <c r="N30" s="12">
        <f>Parameters!$C$29*1000000</f>
        <v>13.333333333333334</v>
      </c>
    </row>
    <row r="31" spans="1:14" x14ac:dyDescent="0.35">
      <c r="A31" s="13">
        <v>30</v>
      </c>
      <c r="B31" s="12">
        <f>(Parameters!$C$21*A31*(A31-1)+2*Parameters!$C$22*A31+Parameters!$C$23)/Parameters!$C$5*1000000</f>
        <v>65.588235294117638</v>
      </c>
      <c r="C31" s="12">
        <f>(40*A31*LOG(A31,2)+10*A31+50)/Parameters!$C$5*1000000</f>
        <v>36.69569832194248</v>
      </c>
      <c r="D31" s="12">
        <f>(200+6*A31)/Parameters!$C$5*1000000</f>
        <v>2.2352941176470589</v>
      </c>
      <c r="E31" s="12">
        <f>(Parameters!$C$24+Parameters!$C$25*A31)/Parameters!$C$5*1000000</f>
        <v>4.5294117647058822</v>
      </c>
      <c r="F31" s="12">
        <f>Parameters!$C$26/Parameters!$C$5*1000000</f>
        <v>4.7058823529411757</v>
      </c>
      <c r="G31" s="12">
        <f>Parameters!$C$32/Parameters!$C$5*1000000</f>
        <v>5.7058823529411766</v>
      </c>
      <c r="H31" s="12">
        <f>Parameters!$C$33/Parameters!$C$5*1000000</f>
        <v>1.2941176470588234</v>
      </c>
      <c r="I31" s="12">
        <f>2*3*(CEILING(LOG(A31,2),1)*(CEILING(LOG(A31,2),1)+1)/2)/Parameters!$C$37*1000000</f>
        <v>0.89999999999999991</v>
      </c>
      <c r="J31" s="18">
        <f>Parameters!$C$6*1000000</f>
        <v>100</v>
      </c>
      <c r="K31" s="17">
        <f>1/(4*A31*Parameters!$C$9)*1000000</f>
        <v>166.66666666666666</v>
      </c>
      <c r="L31" s="17">
        <f>2*A31*Parameters!$C$28*1000000</f>
        <v>216</v>
      </c>
      <c r="M31" s="12">
        <f>2*A31*Parameters!$C$30*1000000</f>
        <v>2.4</v>
      </c>
      <c r="N31" s="12">
        <f>Parameters!$C$29*1000000</f>
        <v>13.333333333333334</v>
      </c>
    </row>
    <row r="32" spans="1:14" x14ac:dyDescent="0.35">
      <c r="A32" s="13">
        <v>31</v>
      </c>
      <c r="B32" s="12">
        <f>(Parameters!$C$21*A32*(A32-1)+2*Parameters!$C$22*A32+Parameters!$C$23)/Parameters!$C$5*1000000</f>
        <v>69.952941176470588</v>
      </c>
      <c r="C32" s="12">
        <f>(40*A32*LOG(A32,2)+10*A32+50)/Parameters!$C$5*1000000</f>
        <v>38.254137793410159</v>
      </c>
      <c r="D32" s="12">
        <f>(200+6*A32)/Parameters!$C$5*1000000</f>
        <v>2.2705882352941176</v>
      </c>
      <c r="E32" s="12">
        <f>(Parameters!$C$24+Parameters!$C$25*A32)/Parameters!$C$5*1000000</f>
        <v>4.6411764705882357</v>
      </c>
      <c r="F32" s="12">
        <f>Parameters!$C$26/Parameters!$C$5*1000000</f>
        <v>4.7058823529411757</v>
      </c>
      <c r="G32" s="12">
        <f>Parameters!$C$32/Parameters!$C$5*1000000</f>
        <v>5.7058823529411766</v>
      </c>
      <c r="H32" s="12">
        <f>Parameters!$C$33/Parameters!$C$5*1000000</f>
        <v>1.2941176470588234</v>
      </c>
      <c r="I32" s="12">
        <f>2*3*(CEILING(LOG(A32,2),1)*(CEILING(LOG(A32,2),1)+1)/2)/Parameters!$C$37*1000000</f>
        <v>0.89999999999999991</v>
      </c>
      <c r="J32" s="18">
        <f>Parameters!$C$6*1000000</f>
        <v>100</v>
      </c>
      <c r="K32" s="17">
        <f>1/(4*A32*Parameters!$C$9)*1000000</f>
        <v>161.29032258064515</v>
      </c>
      <c r="L32" s="17">
        <f>2*A32*Parameters!$C$28*1000000</f>
        <v>223.2</v>
      </c>
      <c r="M32" s="12">
        <f>2*A32*Parameters!$C$30*1000000</f>
        <v>2.48</v>
      </c>
      <c r="N32" s="12">
        <f>Parameters!$C$29*1000000</f>
        <v>13.333333333333334</v>
      </c>
    </row>
    <row r="33" spans="1:14" x14ac:dyDescent="0.35">
      <c r="A33" s="13">
        <v>32</v>
      </c>
      <c r="B33" s="12">
        <f>(Parameters!$C$21*A33*(A33-1)+2*Parameters!$C$22*A33+Parameters!$C$23)/Parameters!$C$5*1000000</f>
        <v>74.45882352941176</v>
      </c>
      <c r="C33" s="12">
        <f>(40*A33*LOG(A33,2)+10*A33+50)/Parameters!$C$5*1000000</f>
        <v>39.823529411764703</v>
      </c>
      <c r="D33" s="12">
        <f>(200+6*A33)/Parameters!$C$5*1000000</f>
        <v>2.3058823529411767</v>
      </c>
      <c r="E33" s="12">
        <f>(Parameters!$C$24+Parameters!$C$25*A33)/Parameters!$C$5*1000000</f>
        <v>4.7529411764705882</v>
      </c>
      <c r="F33" s="12">
        <f>Parameters!$C$26/Parameters!$C$5*1000000</f>
        <v>4.7058823529411757</v>
      </c>
      <c r="G33" s="12">
        <f>Parameters!$C$32/Parameters!$C$5*1000000</f>
        <v>5.7058823529411766</v>
      </c>
      <c r="H33" s="12">
        <f>Parameters!$C$33/Parameters!$C$5*1000000</f>
        <v>1.2941176470588234</v>
      </c>
      <c r="I33" s="12">
        <f>2*3*(CEILING(LOG(A33,2),1)*(CEILING(LOG(A33,2),1)+1)/2)/Parameters!$C$37*1000000</f>
        <v>0.89999999999999991</v>
      </c>
      <c r="J33" s="18">
        <f>Parameters!$C$6*1000000</f>
        <v>100</v>
      </c>
      <c r="K33" s="17">
        <f>1/(4*A33*Parameters!$C$9)*1000000</f>
        <v>156.25</v>
      </c>
      <c r="L33" s="17">
        <f>2*A33*Parameters!$C$28*1000000</f>
        <v>230.39999999999998</v>
      </c>
      <c r="M33" s="12">
        <f>2*A33*Parameters!$C$30*1000000</f>
        <v>2.56</v>
      </c>
      <c r="N33" s="12">
        <f>Parameters!$C$29*1000000</f>
        <v>13.333333333333334</v>
      </c>
    </row>
    <row r="34" spans="1:14" x14ac:dyDescent="0.35">
      <c r="A34" s="13">
        <v>33</v>
      </c>
      <c r="B34" s="12">
        <f>(Parameters!$C$21*A34*(A34-1)+2*Parameters!$C$22*A34+Parameters!$C$23)/Parameters!$C$5*1000000</f>
        <v>79.10588235294118</v>
      </c>
      <c r="C34" s="12">
        <f>(40*A34*LOG(A34,2)+10*A34+50)/Parameters!$C$5*1000000</f>
        <v>41.403530809136235</v>
      </c>
      <c r="D34" s="12">
        <f>(200+6*A34)/Parameters!$C$5*1000000</f>
        <v>2.3411764705882354</v>
      </c>
      <c r="E34" s="12">
        <f>(Parameters!$C$24+Parameters!$C$25*A34)/Parameters!$C$5*1000000</f>
        <v>4.8647058823529408</v>
      </c>
      <c r="F34" s="12">
        <f>Parameters!$C$26/Parameters!$C$5*1000000</f>
        <v>4.7058823529411757</v>
      </c>
      <c r="G34" s="12">
        <f>Parameters!$C$32/Parameters!$C$5*1000000</f>
        <v>5.7058823529411766</v>
      </c>
      <c r="H34" s="12">
        <f>Parameters!$C$33/Parameters!$C$5*1000000</f>
        <v>1.2941176470588234</v>
      </c>
      <c r="I34" s="12">
        <f>2*3*(CEILING(LOG(A34,2),1)*(CEILING(LOG(A34,2),1)+1)/2)/Parameters!$C$37*1000000</f>
        <v>1.26</v>
      </c>
      <c r="J34" s="18">
        <f>Parameters!$C$6*1000000</f>
        <v>100</v>
      </c>
      <c r="K34" s="17">
        <f>1/(4*A34*Parameters!$C$9)*1000000</f>
        <v>151.5151515151515</v>
      </c>
      <c r="L34" s="17">
        <f>2*A34*Parameters!$C$28*1000000</f>
        <v>237.6</v>
      </c>
      <c r="M34" s="12">
        <f>2*A34*Parameters!$C$30*1000000</f>
        <v>2.64</v>
      </c>
      <c r="N34" s="12">
        <f>Parameters!$C$29*1000000</f>
        <v>13.333333333333334</v>
      </c>
    </row>
    <row r="35" spans="1:14" x14ac:dyDescent="0.35">
      <c r="A35" s="13">
        <v>34</v>
      </c>
      <c r="B35" s="12">
        <f>(Parameters!$C$21*A35*(A35-1)+2*Parameters!$C$22*A35+Parameters!$C$23)/Parameters!$C$5*1000000</f>
        <v>83.89411764705882</v>
      </c>
      <c r="C35" s="12">
        <f>(40*A35*LOG(A35,2)+10*A35+50)/Parameters!$C$5*1000000</f>
        <v>42.993820377061546</v>
      </c>
      <c r="D35" s="12">
        <f>(200+6*A35)/Parameters!$C$5*1000000</f>
        <v>2.3764705882352941</v>
      </c>
      <c r="E35" s="12">
        <f>(Parameters!$C$24+Parameters!$C$25*A35)/Parameters!$C$5*1000000</f>
        <v>4.9764705882352942</v>
      </c>
      <c r="F35" s="12">
        <f>Parameters!$C$26/Parameters!$C$5*1000000</f>
        <v>4.7058823529411757</v>
      </c>
      <c r="G35" s="12">
        <f>Parameters!$C$32/Parameters!$C$5*1000000</f>
        <v>5.7058823529411766</v>
      </c>
      <c r="H35" s="12">
        <f>Parameters!$C$33/Parameters!$C$5*1000000</f>
        <v>1.2941176470588234</v>
      </c>
      <c r="I35" s="12">
        <f>2*3*(CEILING(LOG(A35,2),1)*(CEILING(LOG(A35,2),1)+1)/2)/Parameters!$C$37*1000000</f>
        <v>1.26</v>
      </c>
      <c r="J35" s="18">
        <f>Parameters!$C$6*1000000</f>
        <v>100</v>
      </c>
      <c r="K35" s="17">
        <f>1/(4*A35*Parameters!$C$9)*1000000</f>
        <v>147.05882352941174</v>
      </c>
      <c r="L35" s="17">
        <f>2*A35*Parameters!$C$28*1000000</f>
        <v>244.79999999999998</v>
      </c>
      <c r="M35" s="12">
        <f>2*A35*Parameters!$C$30*1000000</f>
        <v>2.72</v>
      </c>
      <c r="N35" s="12">
        <f>Parameters!$C$29*1000000</f>
        <v>13.333333333333334</v>
      </c>
    </row>
    <row r="36" spans="1:14" x14ac:dyDescent="0.35">
      <c r="A36" s="13">
        <v>35</v>
      </c>
      <c r="B36" s="12">
        <f>(Parameters!$C$21*A36*(A36-1)+2*Parameters!$C$22*A36+Parameters!$C$23)/Parameters!$C$5*1000000</f>
        <v>88.82352941176471</v>
      </c>
      <c r="C36" s="12">
        <f>(40*A36*LOG(A36,2)+10*A36+50)/Parameters!$C$5*1000000</f>
        <v>44.594095433664428</v>
      </c>
      <c r="D36" s="12">
        <f>(200+6*A36)/Parameters!$C$5*1000000</f>
        <v>2.4117647058823533</v>
      </c>
      <c r="E36" s="12">
        <f>(Parameters!$C$24+Parameters!$C$25*A36)/Parameters!$C$5*1000000</f>
        <v>5.0882352941176467</v>
      </c>
      <c r="F36" s="12">
        <f>Parameters!$C$26/Parameters!$C$5*1000000</f>
        <v>4.7058823529411757</v>
      </c>
      <c r="G36" s="12">
        <f>Parameters!$C$32/Parameters!$C$5*1000000</f>
        <v>5.7058823529411766</v>
      </c>
      <c r="H36" s="12">
        <f>Parameters!$C$33/Parameters!$C$5*1000000</f>
        <v>1.2941176470588234</v>
      </c>
      <c r="I36" s="12">
        <f>2*3*(CEILING(LOG(A36,2),1)*(CEILING(LOG(A36,2),1)+1)/2)/Parameters!$C$37*1000000</f>
        <v>1.26</v>
      </c>
      <c r="J36" s="18">
        <f>Parameters!$C$6*1000000</f>
        <v>100</v>
      </c>
      <c r="K36" s="17">
        <f>1/(4*A36*Parameters!$C$9)*1000000</f>
        <v>142.85714285714286</v>
      </c>
      <c r="L36" s="17">
        <f>2*A36*Parameters!$C$28*1000000</f>
        <v>252</v>
      </c>
      <c r="M36" s="12">
        <f>2*A36*Parameters!$C$30*1000000</f>
        <v>2.8</v>
      </c>
      <c r="N36" s="12">
        <f>Parameters!$C$29*1000000</f>
        <v>13.333333333333334</v>
      </c>
    </row>
    <row r="37" spans="1:14" x14ac:dyDescent="0.35">
      <c r="A37" s="13">
        <v>36</v>
      </c>
      <c r="B37" s="12">
        <f>(Parameters!$C$21*A37*(A37-1)+2*Parameters!$C$22*A37+Parameters!$C$23)/Parameters!$C$5*1000000</f>
        <v>93.89411764705882</v>
      </c>
      <c r="C37" s="12">
        <f>(40*A37*LOG(A37,2)+10*A37+50)/Parameters!$C$5*1000000</f>
        <v>46.204070600452525</v>
      </c>
      <c r="D37" s="12">
        <f>(200+6*A37)/Parameters!$C$5*1000000</f>
        <v>2.447058823529412</v>
      </c>
      <c r="E37" s="12">
        <f>(Parameters!$C$24+Parameters!$C$25*A37)/Parameters!$C$5*1000000</f>
        <v>5.2</v>
      </c>
      <c r="F37" s="12">
        <f>Parameters!$C$26/Parameters!$C$5*1000000</f>
        <v>4.7058823529411757</v>
      </c>
      <c r="G37" s="12">
        <f>Parameters!$C$32/Parameters!$C$5*1000000</f>
        <v>5.7058823529411766</v>
      </c>
      <c r="H37" s="12">
        <f>Parameters!$C$33/Parameters!$C$5*1000000</f>
        <v>1.2941176470588234</v>
      </c>
      <c r="I37" s="12">
        <f>2*3*(CEILING(LOG(A37,2),1)*(CEILING(LOG(A37,2),1)+1)/2)/Parameters!$C$37*1000000</f>
        <v>1.26</v>
      </c>
      <c r="J37" s="18">
        <f>Parameters!$C$6*1000000</f>
        <v>100</v>
      </c>
      <c r="K37" s="17">
        <f>1/(4*A37*Parameters!$C$9)*1000000</f>
        <v>138.88888888888889</v>
      </c>
      <c r="L37" s="17">
        <f>2*A37*Parameters!$C$28*1000000</f>
        <v>259.2</v>
      </c>
      <c r="M37" s="12">
        <f>2*A37*Parameters!$C$30*1000000</f>
        <v>2.88</v>
      </c>
      <c r="N37" s="12">
        <f>Parameters!$C$29*1000000</f>
        <v>13.333333333333334</v>
      </c>
    </row>
    <row r="38" spans="1:14" x14ac:dyDescent="0.35">
      <c r="A38" s="13">
        <v>37</v>
      </c>
      <c r="B38" s="12">
        <f>(Parameters!$C$21*A38*(A38-1)+2*Parameters!$C$22*A38+Parameters!$C$23)/Parameters!$C$5*1000000</f>
        <v>99.10588235294118</v>
      </c>
      <c r="C38" s="12">
        <f>(40*A38*LOG(A38,2)+10*A38+50)/Parameters!$C$5*1000000</f>
        <v>47.823476359593215</v>
      </c>
      <c r="D38" s="12">
        <f>(200+6*A38)/Parameters!$C$5*1000000</f>
        <v>2.4823529411764707</v>
      </c>
      <c r="E38" s="12">
        <f>(Parameters!$C$24+Parameters!$C$25*A38)/Parameters!$C$5*1000000</f>
        <v>5.3117647058823536</v>
      </c>
      <c r="F38" s="12">
        <f>Parameters!$C$26/Parameters!$C$5*1000000</f>
        <v>4.7058823529411757</v>
      </c>
      <c r="G38" s="12">
        <f>Parameters!$C$32/Parameters!$C$5*1000000</f>
        <v>5.7058823529411766</v>
      </c>
      <c r="H38" s="12">
        <f>Parameters!$C$33/Parameters!$C$5*1000000</f>
        <v>1.2941176470588234</v>
      </c>
      <c r="I38" s="12">
        <f>2*3*(CEILING(LOG(A38,2),1)*(CEILING(LOG(A38,2),1)+1)/2)/Parameters!$C$37*1000000</f>
        <v>1.26</v>
      </c>
      <c r="J38" s="18">
        <f>Parameters!$C$6*1000000</f>
        <v>100</v>
      </c>
      <c r="K38" s="17">
        <f>1/(4*A38*Parameters!$C$9)*1000000</f>
        <v>135.13513513513513</v>
      </c>
      <c r="L38" s="17">
        <f>2*A38*Parameters!$C$28*1000000</f>
        <v>266.39999999999998</v>
      </c>
      <c r="M38" s="12">
        <f>2*A38*Parameters!$C$30*1000000</f>
        <v>2.96</v>
      </c>
      <c r="N38" s="12">
        <f>Parameters!$C$29*1000000</f>
        <v>13.333333333333334</v>
      </c>
    </row>
    <row r="39" spans="1:14" x14ac:dyDescent="0.35">
      <c r="A39" s="13">
        <v>38</v>
      </c>
      <c r="B39" s="12">
        <f>(Parameters!$C$21*A39*(A39-1)+2*Parameters!$C$22*A39+Parameters!$C$23)/Parameters!$C$5*1000000</f>
        <v>104.45882352941176</v>
      </c>
      <c r="C39" s="12">
        <f>(40*A39*LOG(A39,2)+10*A39+50)/Parameters!$C$5*1000000</f>
        <v>49.452057767260293</v>
      </c>
      <c r="D39" s="12">
        <f>(200+6*A39)/Parameters!$C$5*1000000</f>
        <v>2.5176470588235293</v>
      </c>
      <c r="E39" s="12">
        <f>(Parameters!$C$24+Parameters!$C$25*A39)/Parameters!$C$5*1000000</f>
        <v>5.4235294117647053</v>
      </c>
      <c r="F39" s="12">
        <f>Parameters!$C$26/Parameters!$C$5*1000000</f>
        <v>4.7058823529411757</v>
      </c>
      <c r="G39" s="12">
        <f>Parameters!$C$32/Parameters!$C$5*1000000</f>
        <v>5.7058823529411766</v>
      </c>
      <c r="H39" s="12">
        <f>Parameters!$C$33/Parameters!$C$5*1000000</f>
        <v>1.2941176470588234</v>
      </c>
      <c r="I39" s="12">
        <f>2*3*(CEILING(LOG(A39,2),1)*(CEILING(LOG(A39,2),1)+1)/2)/Parameters!$C$37*1000000</f>
        <v>1.26</v>
      </c>
      <c r="J39" s="18">
        <f>Parameters!$C$6*1000000</f>
        <v>100</v>
      </c>
      <c r="K39" s="17">
        <f>1/(4*A39*Parameters!$C$9)*1000000</f>
        <v>131.57894736842104</v>
      </c>
      <c r="L39" s="17">
        <f>2*A39*Parameters!$C$28*1000000</f>
        <v>273.59999999999997</v>
      </c>
      <c r="M39" s="12">
        <f>2*A39*Parameters!$C$30*1000000</f>
        <v>3.04</v>
      </c>
      <c r="N39" s="12">
        <f>Parameters!$C$29*1000000</f>
        <v>13.333333333333334</v>
      </c>
    </row>
    <row r="40" spans="1:14" x14ac:dyDescent="0.35">
      <c r="A40" s="13">
        <v>39</v>
      </c>
      <c r="B40" s="12">
        <f>(Parameters!$C$21*A40*(A40-1)+2*Parameters!$C$22*A40+Parameters!$C$23)/Parameters!$C$5*1000000</f>
        <v>109.95294117647059</v>
      </c>
      <c r="C40" s="12">
        <f>(40*A40*LOG(A40,2)+10*A40+50)/Parameters!$C$5*1000000</f>
        <v>51.089573302500632</v>
      </c>
      <c r="D40" s="12">
        <f>(200+6*A40)/Parameters!$C$5*1000000</f>
        <v>2.552941176470588</v>
      </c>
      <c r="E40" s="12">
        <f>(Parameters!$C$24+Parameters!$C$25*A40)/Parameters!$C$5*1000000</f>
        <v>5.5352941176470587</v>
      </c>
      <c r="F40" s="12">
        <f>Parameters!$C$26/Parameters!$C$5*1000000</f>
        <v>4.7058823529411757</v>
      </c>
      <c r="G40" s="12">
        <f>Parameters!$C$32/Parameters!$C$5*1000000</f>
        <v>5.7058823529411766</v>
      </c>
      <c r="H40" s="12">
        <f>Parameters!$C$33/Parameters!$C$5*1000000</f>
        <v>1.2941176470588234</v>
      </c>
      <c r="I40" s="12">
        <f>2*3*(CEILING(LOG(A40,2),1)*(CEILING(LOG(A40,2),1)+1)/2)/Parameters!$C$37*1000000</f>
        <v>1.26</v>
      </c>
      <c r="J40" s="18">
        <f>Parameters!$C$6*1000000</f>
        <v>100</v>
      </c>
      <c r="K40" s="17">
        <f>1/(4*A40*Parameters!$C$9)*1000000</f>
        <v>128.2051282051282</v>
      </c>
      <c r="L40" s="17">
        <f>2*A40*Parameters!$C$28*1000000</f>
        <v>280.8</v>
      </c>
      <c r="M40" s="12">
        <f>2*A40*Parameters!$C$30*1000000</f>
        <v>3.12</v>
      </c>
      <c r="N40" s="12">
        <f>Parameters!$C$29*1000000</f>
        <v>13.333333333333334</v>
      </c>
    </row>
    <row r="41" spans="1:14" x14ac:dyDescent="0.35">
      <c r="A41" s="13">
        <v>40</v>
      </c>
      <c r="B41" s="12">
        <f>(Parameters!$C$21*A41*(A41-1)+2*Parameters!$C$22*A41+Parameters!$C$23)/Parameters!$C$5*1000000</f>
        <v>115.58823529411765</v>
      </c>
      <c r="C41" s="12">
        <f>(40*A41*LOG(A41,2)+10*A41+50)/Parameters!$C$5*1000000</f>
        <v>52.735793834234009</v>
      </c>
      <c r="D41" s="12">
        <f>(200+6*A41)/Parameters!$C$5*1000000</f>
        <v>2.5882352941176467</v>
      </c>
      <c r="E41" s="12">
        <f>(Parameters!$C$24+Parameters!$C$25*A41)/Parameters!$C$5*1000000</f>
        <v>5.6470588235294112</v>
      </c>
      <c r="F41" s="12">
        <f>Parameters!$C$26/Parameters!$C$5*1000000</f>
        <v>4.7058823529411757</v>
      </c>
      <c r="G41" s="12">
        <f>Parameters!$C$32/Parameters!$C$5*1000000</f>
        <v>5.7058823529411766</v>
      </c>
      <c r="H41" s="12">
        <f>Parameters!$C$33/Parameters!$C$5*1000000</f>
        <v>1.2941176470588234</v>
      </c>
      <c r="I41" s="12">
        <f>2*3*(CEILING(LOG(A41,2),1)*(CEILING(LOG(A41,2),1)+1)/2)/Parameters!$C$37*1000000</f>
        <v>1.26</v>
      </c>
      <c r="J41" s="18">
        <f>Parameters!$C$6*1000000</f>
        <v>100</v>
      </c>
      <c r="K41" s="17">
        <f>1/(4*A41*Parameters!$C$9)*1000000</f>
        <v>125</v>
      </c>
      <c r="L41" s="17">
        <f>2*A41*Parameters!$C$28*1000000</f>
        <v>288</v>
      </c>
      <c r="M41" s="12">
        <f>2*A41*Parameters!$C$30*1000000</f>
        <v>3.1999999999999997</v>
      </c>
      <c r="N41" s="12">
        <f>Parameters!$C$29*1000000</f>
        <v>13.333333333333334</v>
      </c>
    </row>
    <row r="42" spans="1:14" x14ac:dyDescent="0.35">
      <c r="A42" s="13">
        <v>48</v>
      </c>
      <c r="B42" s="12">
        <f>(Parameters!$C$21*A42*(A42-1)+2*Parameters!$C$22*A42+Parameters!$C$23)/Parameters!$C$5*1000000</f>
        <v>165.75294117647059</v>
      </c>
      <c r="C42" s="12">
        <f>(40*A42*LOG(A42,2)+10*A42+50)/Parameters!$C$5*1000000</f>
        <v>66.194870596380127</v>
      </c>
      <c r="D42" s="12">
        <f>(200+6*A42)/Parameters!$C$5*1000000</f>
        <v>2.8705882352941177</v>
      </c>
      <c r="E42" s="12">
        <f>(Parameters!$C$24+Parameters!$C$25*A42)/Parameters!$C$5*1000000</f>
        <v>6.5411764705882351</v>
      </c>
      <c r="F42" s="12">
        <f>Parameters!$C$26/Parameters!$C$5*1000000</f>
        <v>4.7058823529411757</v>
      </c>
      <c r="G42" s="12">
        <f>Parameters!$C$32/Parameters!$C$5*1000000</f>
        <v>5.7058823529411766</v>
      </c>
      <c r="H42" s="12">
        <f>Parameters!$C$33/Parameters!$C$5*1000000</f>
        <v>1.2941176470588234</v>
      </c>
      <c r="I42" s="12">
        <f>2*3*(CEILING(LOG(A42,2),1)*(CEILING(LOG(A42,2),1)+1)/2)/Parameters!$C$37*1000000</f>
        <v>1.26</v>
      </c>
      <c r="J42" s="18">
        <f>Parameters!$C$6*1000000</f>
        <v>100</v>
      </c>
      <c r="K42" s="17">
        <f>1/(4*A42*Parameters!$C$9)*1000000</f>
        <v>104.16666666666667</v>
      </c>
      <c r="L42" s="17">
        <f>2*A42*Parameters!$C$28*1000000</f>
        <v>345.6</v>
      </c>
      <c r="M42" s="12">
        <f>2*A42*Parameters!$C$30*1000000</f>
        <v>3.8400000000000003</v>
      </c>
      <c r="N42" s="12">
        <f>Parameters!$C$29*1000000</f>
        <v>13.333333333333334</v>
      </c>
    </row>
    <row r="43" spans="1:14" x14ac:dyDescent="0.35">
      <c r="A43" s="13">
        <v>64</v>
      </c>
      <c r="B43" s="12">
        <f>(Parameters!$C$21*A43*(A43-1)+2*Parameters!$C$22*A43+Parameters!$C$23)/Parameters!$C$5*1000000</f>
        <v>293.18823529411765</v>
      </c>
      <c r="C43" s="12">
        <f>(40*A43*LOG(A43,2)+10*A43+50)/Parameters!$C$5*1000000</f>
        <v>94.411764705882362</v>
      </c>
      <c r="D43" s="12">
        <f>(200+6*A43)/Parameters!$C$5*1000000</f>
        <v>3.4352941176470586</v>
      </c>
      <c r="E43" s="12">
        <f>(Parameters!$C$24+Parameters!$C$25*A43)/Parameters!$C$5*1000000</f>
        <v>8.3294117647058812</v>
      </c>
      <c r="F43" s="12">
        <f>Parameters!$C$26/Parameters!$C$5*1000000</f>
        <v>4.7058823529411757</v>
      </c>
      <c r="G43" s="12">
        <f>Parameters!$C$32/Parameters!$C$5*1000000</f>
        <v>5.7058823529411766</v>
      </c>
      <c r="H43" s="12">
        <f>Parameters!$C$33/Parameters!$C$5*1000000</f>
        <v>1.2941176470588234</v>
      </c>
      <c r="I43" s="12">
        <f>2*3*(CEILING(LOG(A43,2),1)*(CEILING(LOG(A43,2),1)+1)/2)/Parameters!$C$37*1000000</f>
        <v>1.26</v>
      </c>
      <c r="J43" s="18">
        <f>Parameters!$C$6*1000000</f>
        <v>100</v>
      </c>
      <c r="K43" s="17">
        <f>1/(4*A43*Parameters!$C$9)*1000000</f>
        <v>78.125</v>
      </c>
      <c r="L43" s="17">
        <f>2*A43*Parameters!$C$28*1000000</f>
        <v>460.79999999999995</v>
      </c>
      <c r="M43" s="12">
        <f>2*A43*Parameters!$C$30*1000000</f>
        <v>5.12</v>
      </c>
      <c r="N43" s="12">
        <f>Parameters!$C$29*1000000</f>
        <v>13.333333333333334</v>
      </c>
    </row>
    <row r="44" spans="1:14" x14ac:dyDescent="0.35">
      <c r="A44" s="13">
        <v>96</v>
      </c>
      <c r="B44" s="12">
        <f>(Parameters!$C$21*A44*(A44-1)+2*Parameters!$C$22*A44+Parameters!$C$23)/Parameters!$C$5*1000000</f>
        <v>656.48235294117649</v>
      </c>
      <c r="C44" s="12">
        <f>(40*A44*LOG(A44,2)+10*A44+50)/Parameters!$C$5*1000000</f>
        <v>154.68385883981907</v>
      </c>
      <c r="D44" s="12">
        <f>(200+6*A44)/Parameters!$C$5*1000000</f>
        <v>4.5647058823529409</v>
      </c>
      <c r="E44" s="12">
        <f>(Parameters!$C$24+Parameters!$C$25*A44)/Parameters!$C$5*1000000</f>
        <v>11.905882352941177</v>
      </c>
      <c r="F44" s="12">
        <f>Parameters!$C$26/Parameters!$C$5*1000000</f>
        <v>4.7058823529411757</v>
      </c>
      <c r="G44" s="12">
        <f>Parameters!$C$32/Parameters!$C$5*1000000</f>
        <v>5.7058823529411766</v>
      </c>
      <c r="H44" s="12">
        <f>Parameters!$C$33/Parameters!$C$5*1000000</f>
        <v>1.2941176470588234</v>
      </c>
      <c r="I44" s="12">
        <f>2*3*(CEILING(LOG(A44,2),1)*(CEILING(LOG(A44,2),1)+1)/2)/Parameters!$C$37*1000000</f>
        <v>1.68</v>
      </c>
      <c r="J44" s="18">
        <f>Parameters!$C$6*1000000</f>
        <v>100</v>
      </c>
      <c r="K44" s="17">
        <f>1/(4*A44*Parameters!$C$9)*1000000</f>
        <v>52.083333333333336</v>
      </c>
      <c r="L44" s="17">
        <f>2*A44*Parameters!$C$28*1000000</f>
        <v>691.2</v>
      </c>
      <c r="M44" s="12">
        <f>2*A44*Parameters!$C$30*1000000</f>
        <v>7.6800000000000006</v>
      </c>
      <c r="N44" s="12">
        <f>Parameters!$C$29*1000000</f>
        <v>13.333333333333334</v>
      </c>
    </row>
    <row r="45" spans="1:14" x14ac:dyDescent="0.35">
      <c r="A45" s="13">
        <v>128</v>
      </c>
      <c r="B45" s="12">
        <f>(Parameters!$C$21*A45*(A45-1)+2*Parameters!$C$22*A45+Parameters!$C$23)/Parameters!$C$5*1000000</f>
        <v>1164.3411764705884</v>
      </c>
      <c r="C45" s="12">
        <f>(40*A45*LOG(A45,2)+10*A45+50)/Parameters!$C$5*1000000</f>
        <v>218.64705882352942</v>
      </c>
      <c r="D45" s="12">
        <f>(200+6*A45)/Parameters!$C$5*1000000</f>
        <v>5.6941176470588237</v>
      </c>
      <c r="E45" s="12">
        <f>(Parameters!$C$24+Parameters!$C$25*A45)/Parameters!$C$5*1000000</f>
        <v>15.482352941176469</v>
      </c>
      <c r="F45" s="12">
        <f>Parameters!$C$26/Parameters!$C$5*1000000</f>
        <v>4.7058823529411757</v>
      </c>
      <c r="G45" s="12">
        <f>Parameters!$C$32/Parameters!$C$5*1000000</f>
        <v>5.7058823529411766</v>
      </c>
      <c r="H45" s="12">
        <f>Parameters!$C$33/Parameters!$C$5*1000000</f>
        <v>1.2941176470588234</v>
      </c>
      <c r="I45" s="12">
        <f>2*3*(CEILING(LOG(A45,2),1)*(CEILING(LOG(A45,2),1)+1)/2)/Parameters!$C$37*1000000</f>
        <v>1.68</v>
      </c>
      <c r="J45" s="18">
        <f>Parameters!$C$6*1000000</f>
        <v>100</v>
      </c>
      <c r="K45" s="17">
        <f>1/(4*A45*Parameters!$C$9)*1000000</f>
        <v>39.0625</v>
      </c>
      <c r="L45" s="17">
        <f>2*A45*Parameters!$C$28*1000000</f>
        <v>921.59999999999991</v>
      </c>
      <c r="M45" s="12">
        <f>2*A45*Parameters!$C$30*1000000</f>
        <v>10.24</v>
      </c>
      <c r="N45" s="12">
        <f>Parameters!$C$29*1000000</f>
        <v>13.333333333333334</v>
      </c>
    </row>
    <row r="46" spans="1:14" x14ac:dyDescent="0.35">
      <c r="A46" s="13">
        <v>192</v>
      </c>
      <c r="B46" s="12">
        <f>(Parameters!$C$21*A46*(A46-1)+2*Parameters!$C$22*A46+Parameters!$C$23)/Parameters!$C$5*1000000</f>
        <v>2613.7529411764704</v>
      </c>
      <c r="C46" s="12">
        <f>(40*A46*LOG(A46,2)+10*A46+50)/Parameters!$C$5*1000000</f>
        <v>354.25007062081454</v>
      </c>
      <c r="D46" s="12">
        <f>(200+6*A46)/Parameters!$C$5*1000000</f>
        <v>7.9529411764705884</v>
      </c>
      <c r="E46" s="12">
        <f>(Parameters!$C$24+Parameters!$C$25*A46)/Parameters!$C$5*1000000</f>
        <v>22.63529411764706</v>
      </c>
      <c r="F46" s="12">
        <f>Parameters!$C$26/Parameters!$C$5*1000000</f>
        <v>4.7058823529411757</v>
      </c>
      <c r="G46" s="12">
        <f>Parameters!$C$32/Parameters!$C$5*1000000</f>
        <v>5.7058823529411766</v>
      </c>
      <c r="H46" s="12">
        <f>Parameters!$C$33/Parameters!$C$5*1000000</f>
        <v>1.2941176470588234</v>
      </c>
      <c r="I46" s="12">
        <f>2*3*(CEILING(LOG(A46,2),1)*(CEILING(LOG(A46,2),1)+1)/2)/Parameters!$C$37*1000000</f>
        <v>2.16</v>
      </c>
      <c r="J46" s="18">
        <f>Parameters!$C$6*1000000</f>
        <v>100</v>
      </c>
      <c r="K46" s="17">
        <f>1/(4*A46*Parameters!$C$9)*1000000</f>
        <v>26.041666666666668</v>
      </c>
      <c r="L46" s="17">
        <f>2*A46*Parameters!$C$28*1000000</f>
        <v>1382.4</v>
      </c>
      <c r="M46" s="12">
        <f>2*A46*Parameters!$C$30*1000000</f>
        <v>15.360000000000001</v>
      </c>
      <c r="N46" s="12">
        <f>Parameters!$C$29*1000000</f>
        <v>13.333333333333334</v>
      </c>
    </row>
    <row r="47" spans="1:14" x14ac:dyDescent="0.35">
      <c r="A47" s="13">
        <v>256</v>
      </c>
      <c r="B47" s="12">
        <f>(Parameters!$C$21*A47*(A47-1)+2*Parameters!$C$22*A47+Parameters!$C$23)/Parameters!$C$5*1000000</f>
        <v>4641.4235294117652</v>
      </c>
      <c r="C47" s="12">
        <f>(40*A47*LOG(A47,2)+10*A47+50)/Parameters!$C$5*1000000</f>
        <v>497.23529411764707</v>
      </c>
      <c r="D47" s="12">
        <f>(200+6*A47)/Parameters!$C$5*1000000</f>
        <v>10.211764705882352</v>
      </c>
      <c r="E47" s="12">
        <f>(Parameters!$C$24+Parameters!$C$25*A47)/Parameters!$C$5*1000000</f>
        <v>29.788235294117648</v>
      </c>
      <c r="F47" s="12">
        <f>Parameters!$C$26/Parameters!$C$5*1000000</f>
        <v>4.7058823529411757</v>
      </c>
      <c r="G47" s="12">
        <f>Parameters!$C$32/Parameters!$C$5*1000000</f>
        <v>5.7058823529411766</v>
      </c>
      <c r="H47" s="12">
        <f>Parameters!$C$33/Parameters!$C$5*1000000</f>
        <v>1.2941176470588234</v>
      </c>
      <c r="I47" s="12">
        <f>2*3*(CEILING(LOG(A47,2),1)*(CEILING(LOG(A47,2),1)+1)/2)/Parameters!$C$37*1000000</f>
        <v>2.16</v>
      </c>
      <c r="J47" s="18">
        <f>Parameters!$C$6*1000000</f>
        <v>100</v>
      </c>
      <c r="K47" s="17">
        <f>1/(4*A47*Parameters!$C$9)*1000000</f>
        <v>19.53125</v>
      </c>
      <c r="L47" s="17">
        <f>2*A47*Parameters!$C$28*1000000</f>
        <v>1843.1999999999998</v>
      </c>
      <c r="M47" s="12">
        <f>2*A47*Parameters!$C$30*1000000</f>
        <v>20.48</v>
      </c>
      <c r="N47" s="12">
        <f>Parameters!$C$29*1000000</f>
        <v>13.333333333333334</v>
      </c>
    </row>
    <row r="50" spans="1:5" x14ac:dyDescent="0.35">
      <c r="A50" s="2" t="s">
        <v>335</v>
      </c>
    </row>
    <row r="51" spans="1:5" ht="26" x14ac:dyDescent="0.35">
      <c r="A51" s="5" t="s">
        <v>336</v>
      </c>
      <c r="B51" s="5" t="s">
        <v>337</v>
      </c>
      <c r="C51" s="5" t="s">
        <v>338</v>
      </c>
      <c r="D51" s="5" t="s">
        <v>339</v>
      </c>
      <c r="E51" s="5" t="s">
        <v>164</v>
      </c>
    </row>
    <row r="52" spans="1:5" ht="52" x14ac:dyDescent="0.35">
      <c r="A52" s="7" t="s">
        <v>340</v>
      </c>
      <c r="B52" s="15">
        <f>Parameters!$C$21*Parameters!$C$11*(Parameters!$C$11-1)+2*Parameters!$C$22*Parameters!$C$11+Parameters!$C$23</f>
        <v>2900</v>
      </c>
      <c r="C52" s="15">
        <f>'§4 Case B'!D6*3*2</f>
        <v>60</v>
      </c>
      <c r="D52" s="15">
        <f>Parameters!$C$32</f>
        <v>970</v>
      </c>
      <c r="E52" s="7" t="s">
        <v>341</v>
      </c>
    </row>
    <row r="53" spans="1:5" ht="26" x14ac:dyDescent="0.35">
      <c r="A53" s="7" t="s">
        <v>342</v>
      </c>
      <c r="B53" s="15">
        <f>Parameters!$C$24+Parameters!$C$25*Parameters!$C$11</f>
        <v>485</v>
      </c>
      <c r="C53" s="15" t="s">
        <v>343</v>
      </c>
      <c r="D53" s="15">
        <f>Parameters!$C$33</f>
        <v>220</v>
      </c>
      <c r="E53" s="7" t="s">
        <v>344</v>
      </c>
    </row>
    <row r="54" spans="1:5" ht="26" x14ac:dyDescent="0.35">
      <c r="A54" s="7" t="s">
        <v>230</v>
      </c>
      <c r="B54" s="15">
        <f>Parameters!$C$26</f>
        <v>800</v>
      </c>
      <c r="C54" s="15" t="s">
        <v>345</v>
      </c>
      <c r="D54" s="15">
        <f>Parameters!$C$34</f>
        <v>800</v>
      </c>
      <c r="E54" s="7" t="s">
        <v>346</v>
      </c>
    </row>
    <row r="55" spans="1:5" ht="39" x14ac:dyDescent="0.35">
      <c r="A55" s="7" t="s">
        <v>347</v>
      </c>
      <c r="B55" s="15">
        <f>Parameters!$C$11*Parameters!$C$28*1000000</f>
        <v>54</v>
      </c>
      <c r="C55" s="15">
        <f>2*Parameters!$C$11*Parameters!$C$30*1000000</f>
        <v>1.2</v>
      </c>
      <c r="D55" s="15">
        <f>Parameters!$C$29*1000000</f>
        <v>13.333333333333334</v>
      </c>
      <c r="E55" s="7" t="s">
        <v>348</v>
      </c>
    </row>
    <row r="56" spans="1:5" x14ac:dyDescent="0.35">
      <c r="A56" s="7" t="s">
        <v>349</v>
      </c>
      <c r="B56" s="16">
        <f>INDEX('§3 Case A'!K5:K47,MATCH(Parameters!C11,'§3 Case A'!A5:A47,0))</f>
        <v>0.17391176470588235</v>
      </c>
      <c r="C56" s="16">
        <f>'§4 Case B'!H6</f>
        <v>1.9199999999999998E-2</v>
      </c>
      <c r="D56" s="16">
        <f>'§5 Case C'!E8</f>
        <v>5.8823529411764705E-2</v>
      </c>
      <c r="E56" s="7" t="s">
        <v>350</v>
      </c>
    </row>
    <row r="57" spans="1:5" ht="39" x14ac:dyDescent="0.35">
      <c r="A57" s="7" t="s">
        <v>351</v>
      </c>
      <c r="B57" s="15">
        <f>'§3 Case A'!G52</f>
        <v>12</v>
      </c>
      <c r="C57" s="15">
        <v>128</v>
      </c>
      <c r="D57" s="15">
        <f>64</f>
        <v>64</v>
      </c>
      <c r="E57" s="7" t="s">
        <v>352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"/>
  <sheetViews>
    <sheetView showGridLines="0" zoomScaleNormal="100" workbookViewId="0"/>
  </sheetViews>
  <sheetFormatPr baseColWidth="10" defaultColWidth="8.6328125" defaultRowHeight="14.5" x14ac:dyDescent="0.35"/>
  <cols>
    <col min="1" max="1" width="44" customWidth="1"/>
    <col min="2" max="2" width="14" customWidth="1"/>
    <col min="3" max="3" width="30" customWidth="1"/>
    <col min="4" max="4" width="14" customWidth="1"/>
    <col min="5" max="5" width="30" customWidth="1"/>
  </cols>
  <sheetData>
    <row r="1" spans="1:5" ht="16.5" x14ac:dyDescent="0.35">
      <c r="A1" s="1" t="s">
        <v>353</v>
      </c>
    </row>
    <row r="4" spans="1:5" x14ac:dyDescent="0.35">
      <c r="A4" s="6" t="s">
        <v>354</v>
      </c>
      <c r="B4" s="13">
        <v>3</v>
      </c>
    </row>
    <row r="5" spans="1:5" x14ac:dyDescent="0.35">
      <c r="A5" s="7" t="s">
        <v>355</v>
      </c>
      <c r="B5" s="20">
        <f>B4*(2^(1/B4)-1)</f>
        <v>0.77976314968461957</v>
      </c>
      <c r="C5" s="7" t="s">
        <v>356</v>
      </c>
    </row>
    <row r="6" spans="1:5" x14ac:dyDescent="0.35">
      <c r="A6" s="7" t="s">
        <v>357</v>
      </c>
      <c r="B6" s="27">
        <f>Parameters!$C$12</f>
        <v>1</v>
      </c>
      <c r="C6" s="7" t="s">
        <v>358</v>
      </c>
    </row>
    <row r="7" spans="1:5" x14ac:dyDescent="0.35">
      <c r="A7" s="7" t="s">
        <v>359</v>
      </c>
      <c r="B7" s="18">
        <f>Parameters!$C$7/Parameters!$C$6</f>
        <v>10</v>
      </c>
    </row>
    <row r="8" spans="1:5" x14ac:dyDescent="0.35">
      <c r="A8" s="7" t="s">
        <v>360</v>
      </c>
      <c r="B8" s="18">
        <f>Parameters!$C$8/Parameters!$C$7</f>
        <v>10</v>
      </c>
    </row>
    <row r="10" spans="1:5" x14ac:dyDescent="0.35">
      <c r="A10" s="6" t="s">
        <v>361</v>
      </c>
      <c r="B10" s="6" t="s">
        <v>362</v>
      </c>
      <c r="C10" s="6" t="s">
        <v>363</v>
      </c>
      <c r="D10" s="6" t="s">
        <v>364</v>
      </c>
    </row>
    <row r="11" spans="1:5" x14ac:dyDescent="0.35">
      <c r="A11" s="7" t="s">
        <v>365</v>
      </c>
      <c r="B11" s="12">
        <f>INDEX('§3 Case A'!F5:F47,MATCH(Parameters!C11,'§3 Case A'!A5:A47,0))</f>
        <v>17.058823529411764</v>
      </c>
      <c r="C11" s="18">
        <f>Parameters!$C$6*1000000</f>
        <v>100</v>
      </c>
      <c r="D11" s="16">
        <f>B11/C11</f>
        <v>0.17058823529411765</v>
      </c>
    </row>
    <row r="12" spans="1:5" x14ac:dyDescent="0.35">
      <c r="A12" s="7" t="s">
        <v>366</v>
      </c>
      <c r="B12" s="12">
        <f>INDEX('§3 Case A'!G5:G47,MATCH(Parameters!C11,'§3 Case A'!A5:A47,0))</f>
        <v>2.8529411764705883</v>
      </c>
      <c r="C12" s="18">
        <f>Parameters!$C$7*1000000</f>
        <v>1000</v>
      </c>
      <c r="D12" s="16">
        <f>B12/C12</f>
        <v>2.8529411764705885E-3</v>
      </c>
    </row>
    <row r="13" spans="1:5" x14ac:dyDescent="0.35">
      <c r="A13" s="7" t="s">
        <v>367</v>
      </c>
      <c r="B13" s="12">
        <f>INDEX('§3 Case A'!H5:H47,MATCH(Parameters!C11,'§3 Case A'!A5:A47,0))</f>
        <v>4.7058823529411757</v>
      </c>
      <c r="C13" s="18">
        <f>Parameters!$C$8*1000000</f>
        <v>10000</v>
      </c>
      <c r="D13" s="16">
        <f>B13/C13</f>
        <v>4.7058823529411755E-4</v>
      </c>
    </row>
    <row r="14" spans="1:5" x14ac:dyDescent="0.35">
      <c r="A14" s="7" t="s">
        <v>368</v>
      </c>
      <c r="D14" s="16">
        <f>SUM(D11:D13)</f>
        <v>0.17391176470588235</v>
      </c>
      <c r="E14" s="7" t="str">
        <f>IF(D14&lt;=B6,"schedulable (RMS, harmonic)","not schedulable")</f>
        <v>schedulable (RMS, harmonic)</v>
      </c>
    </row>
    <row r="16" spans="1:5" x14ac:dyDescent="0.35">
      <c r="A16" s="2" t="s">
        <v>369</v>
      </c>
    </row>
    <row r="17" spans="1:4" x14ac:dyDescent="0.35">
      <c r="A17" s="5" t="s">
        <v>370</v>
      </c>
      <c r="B17" s="5" t="s">
        <v>371</v>
      </c>
      <c r="C17" s="5" t="s">
        <v>372</v>
      </c>
      <c r="D17" s="5" t="s">
        <v>373</v>
      </c>
    </row>
    <row r="18" spans="1:4" x14ac:dyDescent="0.35">
      <c r="A18" s="7">
        <v>0</v>
      </c>
      <c r="B18" s="12">
        <f>B13</f>
        <v>4.7058823529411757</v>
      </c>
      <c r="C18" s="12">
        <f>B13+CEILING(B18/C11,1)*B11+CEILING(B18/C12,1)*B12</f>
        <v>24.617647058823529</v>
      </c>
      <c r="D18" s="7" t="str">
        <f>IF(ABS(C18-B18)&lt;0.0001,"yes","no")</f>
        <v>no</v>
      </c>
    </row>
    <row r="19" spans="1:4" x14ac:dyDescent="0.35">
      <c r="A19" s="7">
        <v>1</v>
      </c>
      <c r="B19" s="12">
        <f>C18</f>
        <v>24.617647058823529</v>
      </c>
      <c r="C19" s="12">
        <f>B13+CEILING(B19/C11,1)*B11+CEILING(B19/C12,1)*B12</f>
        <v>24.617647058823529</v>
      </c>
      <c r="D19" s="7" t="str">
        <f>IF(ABS(C19-B19)&lt;0.0001,"yes","no")</f>
        <v>yes</v>
      </c>
    </row>
    <row r="20" spans="1:4" x14ac:dyDescent="0.35">
      <c r="A20" s="7">
        <v>2</v>
      </c>
      <c r="B20" s="12">
        <f>C19</f>
        <v>24.617647058823529</v>
      </c>
      <c r="C20" s="12">
        <f>B13+CEILING(B20/C11,1)*B11+CEILING(B20/C12,1)*B12</f>
        <v>24.617647058823529</v>
      </c>
      <c r="D20" s="7" t="str">
        <f>IF(ABS(C20-B20)&lt;0.0001,"yes","no")</f>
        <v>yes</v>
      </c>
    </row>
    <row r="21" spans="1:4" x14ac:dyDescent="0.35">
      <c r="A21" s="7">
        <v>3</v>
      </c>
      <c r="B21" s="12">
        <f>C20</f>
        <v>24.617647058823529</v>
      </c>
      <c r="C21" s="12">
        <f>B13+CEILING(B21/C11,1)*B11+CEILING(B21/C12,1)*B12</f>
        <v>24.617647058823529</v>
      </c>
      <c r="D21" s="7" t="str">
        <f>IF(ABS(C21-B21)&lt;0.0001,"yes","no")</f>
        <v>yes</v>
      </c>
    </row>
    <row r="22" spans="1:4" x14ac:dyDescent="0.35">
      <c r="A22" s="7">
        <v>4</v>
      </c>
      <c r="B22" s="12">
        <f>C21</f>
        <v>24.617647058823529</v>
      </c>
      <c r="C22" s="12">
        <f>B13+CEILING(B22/C11,1)*B11+CEILING(B22/C12,1)*B12</f>
        <v>24.617647058823529</v>
      </c>
      <c r="D22" s="7" t="str">
        <f>IF(ABS(C22-B22)&lt;0.0001,"yes","no")</f>
        <v>yes</v>
      </c>
    </row>
    <row r="24" spans="1:4" ht="26" x14ac:dyDescent="0.35">
      <c r="A24" s="7" t="s">
        <v>374</v>
      </c>
      <c r="B24" s="12">
        <f>C22</f>
        <v>24.617647058823529</v>
      </c>
    </row>
    <row r="25" spans="1:4" ht="26" x14ac:dyDescent="0.35">
      <c r="A25" s="7" t="s">
        <v>375</v>
      </c>
      <c r="B25" s="27">
        <f>Parameters!$C$13</f>
        <v>0.7</v>
      </c>
      <c r="C25" s="7" t="s">
        <v>376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showGridLines="0" zoomScaleNormal="100" workbookViewId="0"/>
  </sheetViews>
  <sheetFormatPr baseColWidth="10" defaultColWidth="8.6328125" defaultRowHeight="14.5" x14ac:dyDescent="0.35"/>
  <cols>
    <col min="1" max="1" width="34" customWidth="1"/>
    <col min="2" max="4" width="26" customWidth="1"/>
    <col min="5" max="5" width="50" customWidth="1"/>
  </cols>
  <sheetData>
    <row r="1" spans="1:5" ht="16.5" x14ac:dyDescent="0.35">
      <c r="A1" s="1" t="s">
        <v>377</v>
      </c>
    </row>
    <row r="4" spans="1:5" x14ac:dyDescent="0.35">
      <c r="A4" s="5" t="s">
        <v>378</v>
      </c>
      <c r="B4" s="5" t="s">
        <v>379</v>
      </c>
      <c r="C4" s="5" t="s">
        <v>380</v>
      </c>
      <c r="D4" s="5" t="s">
        <v>381</v>
      </c>
      <c r="E4" s="5" t="s">
        <v>382</v>
      </c>
    </row>
    <row r="5" spans="1:5" ht="26" x14ac:dyDescent="0.35">
      <c r="A5" s="7" t="s">
        <v>383</v>
      </c>
      <c r="B5" s="12" t="s">
        <v>384</v>
      </c>
      <c r="C5" s="12" t="s">
        <v>385</v>
      </c>
      <c r="D5" s="12" t="s">
        <v>386</v>
      </c>
      <c r="E5" s="7" t="s">
        <v>387</v>
      </c>
    </row>
    <row r="6" spans="1:5" x14ac:dyDescent="0.35">
      <c r="A6" s="7" t="s">
        <v>388</v>
      </c>
      <c r="B6" s="12">
        <f>'§3 Case A'!G52</f>
        <v>12</v>
      </c>
      <c r="C6" s="12" t="s">
        <v>197</v>
      </c>
      <c r="D6" s="12" t="s">
        <v>197</v>
      </c>
      <c r="E6" s="7" t="s">
        <v>389</v>
      </c>
    </row>
    <row r="7" spans="1:5" x14ac:dyDescent="0.35">
      <c r="A7" s="7" t="s">
        <v>390</v>
      </c>
      <c r="B7" s="12">
        <f>'§3 Case A'!G53</f>
        <v>19</v>
      </c>
      <c r="C7" s="12" t="s">
        <v>197</v>
      </c>
      <c r="D7" s="12" t="s">
        <v>197</v>
      </c>
      <c r="E7" s="7" t="s">
        <v>391</v>
      </c>
    </row>
    <row r="8" spans="1:5" x14ac:dyDescent="0.35">
      <c r="A8" s="7" t="s">
        <v>392</v>
      </c>
      <c r="B8" s="12">
        <f>'§3 Case A'!G54</f>
        <v>37</v>
      </c>
      <c r="C8" s="12">
        <v>128</v>
      </c>
      <c r="D8" s="12" t="s">
        <v>197</v>
      </c>
      <c r="E8" s="7" t="s">
        <v>393</v>
      </c>
    </row>
    <row r="9" spans="1:5" x14ac:dyDescent="0.35">
      <c r="A9" s="7" t="s">
        <v>394</v>
      </c>
      <c r="B9" s="12" t="s">
        <v>197</v>
      </c>
      <c r="C9" s="12" t="s">
        <v>197</v>
      </c>
      <c r="D9" s="12">
        <f>INDEX('§5 Case C'!A16:A29,SUMPRODUCT(('§5 Case C'!D16:D29&lt;=50)*1))</f>
        <v>48</v>
      </c>
      <c r="E9" s="7" t="s">
        <v>395</v>
      </c>
    </row>
    <row r="10" spans="1:5" x14ac:dyDescent="0.35">
      <c r="A10" s="7" t="s">
        <v>396</v>
      </c>
      <c r="B10" s="16">
        <f>INDEX('§3 Case A'!K5:K47,MATCH(Parameters!C11,'§3 Case A'!A5:A47,0))</f>
        <v>0.17391176470588235</v>
      </c>
      <c r="C10" s="16">
        <f>'§4 Case B'!H6</f>
        <v>1.9199999999999998E-2</v>
      </c>
      <c r="D10" s="16">
        <f>'§5 Case C'!E8</f>
        <v>5.8823529411764705E-2</v>
      </c>
      <c r="E10" s="7" t="s">
        <v>350</v>
      </c>
    </row>
    <row r="11" spans="1:5" x14ac:dyDescent="0.35">
      <c r="A11" s="7" t="s">
        <v>397</v>
      </c>
      <c r="B11" s="16">
        <f>INDEX('§3 Case A'!J5:J47,MATCH(Parameters!C11,'§3 Case A'!A5:A47,0))/100</f>
        <v>0.54</v>
      </c>
      <c r="C11" s="16">
        <f>'§4 Case B'!E6/100</f>
        <v>1.2800000000000001E-2</v>
      </c>
      <c r="D11" s="16">
        <f>'§5 Case C'!E10</f>
        <v>0.13333333333333333</v>
      </c>
      <c r="E11" s="7" t="s">
        <v>398</v>
      </c>
    </row>
    <row r="12" spans="1:5" x14ac:dyDescent="0.35">
      <c r="A12" s="7" t="s">
        <v>399</v>
      </c>
      <c r="B12" s="12">
        <f>INDEX('§3 Case A'!P5:P47,MATCH(Parameters!C11,'§3 Case A'!A5:A47,0))</f>
        <v>74.658823529411762</v>
      </c>
      <c r="C12" s="12">
        <f>'§4 Case B'!E6+'§4 Case B'!F6+0.2</f>
        <v>1.92</v>
      </c>
      <c r="D12" s="12">
        <f>'§5 Case C'!D12</f>
        <v>19.03921568627451</v>
      </c>
      <c r="E12" s="7" t="s">
        <v>400</v>
      </c>
    </row>
    <row r="13" spans="1:5" x14ac:dyDescent="0.35">
      <c r="A13" s="7" t="s">
        <v>401</v>
      </c>
      <c r="B13" s="12" t="s">
        <v>402</v>
      </c>
      <c r="C13" s="12" t="s">
        <v>403</v>
      </c>
      <c r="D13" s="12" t="s">
        <v>404</v>
      </c>
      <c r="E13" s="7"/>
    </row>
    <row r="14" spans="1:5" x14ac:dyDescent="0.35">
      <c r="A14" s="7" t="s">
        <v>405</v>
      </c>
      <c r="B14" s="12" t="s">
        <v>406</v>
      </c>
      <c r="C14" s="12" t="s">
        <v>407</v>
      </c>
      <c r="D14" s="12" t="s">
        <v>408</v>
      </c>
      <c r="E14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showGridLines="0" topLeftCell="C1" zoomScaleNormal="100" workbookViewId="0"/>
  </sheetViews>
  <sheetFormatPr baseColWidth="10" defaultColWidth="8.6328125" defaultRowHeight="14.5" x14ac:dyDescent="0.35"/>
  <cols>
    <col min="1" max="1" width="8" customWidth="1"/>
    <col min="2" max="3" width="16" customWidth="1"/>
    <col min="4" max="4" width="12" customWidth="1"/>
    <col min="5" max="5" width="22" customWidth="1"/>
    <col min="6" max="6" width="26" customWidth="1"/>
  </cols>
  <sheetData>
    <row r="1" spans="1:6" ht="16.5" x14ac:dyDescent="0.35">
      <c r="A1" s="1" t="s">
        <v>409</v>
      </c>
    </row>
    <row r="4" spans="1:6" ht="26" x14ac:dyDescent="0.35">
      <c r="A4" s="5" t="s">
        <v>157</v>
      </c>
      <c r="B4" s="5" t="s">
        <v>410</v>
      </c>
      <c r="C4" s="5" t="s">
        <v>411</v>
      </c>
      <c r="D4" s="5" t="s">
        <v>412</v>
      </c>
      <c r="E4" s="5" t="s">
        <v>413</v>
      </c>
      <c r="F4" s="5" t="s">
        <v>414</v>
      </c>
    </row>
    <row r="5" spans="1:6" x14ac:dyDescent="0.35">
      <c r="A5" s="13">
        <v>4</v>
      </c>
      <c r="B5" s="20">
        <f>Parameters!$C$41/A5</f>
        <v>0.20399999999999999</v>
      </c>
      <c r="C5" s="7" t="str">
        <f t="shared" ref="C5:C17" si="0">IF(B5&lt;=0.05,"yes","no")</f>
        <v>no</v>
      </c>
      <c r="D5" s="7" t="str">
        <f t="shared" ref="D5:D17" si="1">IF(B5&lt;=0.03,"yes","no")</f>
        <v>no</v>
      </c>
      <c r="E5" s="17">
        <f>4*A5*Parameters!$C$9/1000</f>
        <v>0.8</v>
      </c>
      <c r="F5" s="18">
        <f>E5*1000/A5+8*Parameters!$C$9</f>
        <v>600</v>
      </c>
    </row>
    <row r="6" spans="1:6" x14ac:dyDescent="0.35">
      <c r="A6" s="13">
        <v>5</v>
      </c>
      <c r="B6" s="20">
        <f>Parameters!$C$41/A6</f>
        <v>0.16319999999999998</v>
      </c>
      <c r="C6" s="7" t="str">
        <f t="shared" si="0"/>
        <v>no</v>
      </c>
      <c r="D6" s="7" t="str">
        <f t="shared" si="1"/>
        <v>no</v>
      </c>
      <c r="E6" s="17">
        <f>4*A6*Parameters!$C$9/1000</f>
        <v>1</v>
      </c>
      <c r="F6" s="18">
        <f>E6*1000/A6+8*Parameters!$C$9</f>
        <v>600</v>
      </c>
    </row>
    <row r="7" spans="1:6" x14ac:dyDescent="0.35">
      <c r="A7" s="13">
        <v>8</v>
      </c>
      <c r="B7" s="20">
        <f>Parameters!$C$41/A7</f>
        <v>0.10199999999999999</v>
      </c>
      <c r="C7" s="7" t="str">
        <f t="shared" si="0"/>
        <v>no</v>
      </c>
      <c r="D7" s="7" t="str">
        <f t="shared" si="1"/>
        <v>no</v>
      </c>
      <c r="E7" s="17">
        <f>4*A7*Parameters!$C$9/1000</f>
        <v>1.6</v>
      </c>
      <c r="F7" s="18">
        <f>E7*1000/A7+8*Parameters!$C$9</f>
        <v>600</v>
      </c>
    </row>
    <row r="8" spans="1:6" x14ac:dyDescent="0.35">
      <c r="A8" s="13">
        <v>12</v>
      </c>
      <c r="B8" s="20">
        <f>Parameters!$C$41/A8</f>
        <v>6.7999999999999991E-2</v>
      </c>
      <c r="C8" s="7" t="str">
        <f t="shared" si="0"/>
        <v>no</v>
      </c>
      <c r="D8" s="7" t="str">
        <f t="shared" si="1"/>
        <v>no</v>
      </c>
      <c r="E8" s="17">
        <f>4*A8*Parameters!$C$9/1000</f>
        <v>2.4</v>
      </c>
      <c r="F8" s="18">
        <f>E8*1000/A8+8*Parameters!$C$9</f>
        <v>600</v>
      </c>
    </row>
    <row r="9" spans="1:6" x14ac:dyDescent="0.35">
      <c r="A9" s="13">
        <v>15</v>
      </c>
      <c r="B9" s="20">
        <f>Parameters!$C$41/A9</f>
        <v>5.4399999999999997E-2</v>
      </c>
      <c r="C9" s="7" t="str">
        <f t="shared" si="0"/>
        <v>no</v>
      </c>
      <c r="D9" s="7" t="str">
        <f t="shared" si="1"/>
        <v>no</v>
      </c>
      <c r="E9" s="17">
        <f>4*A9*Parameters!$C$9/1000</f>
        <v>3</v>
      </c>
      <c r="F9" s="18">
        <f>E9*1000/A9+8*Parameters!$C$9</f>
        <v>600</v>
      </c>
    </row>
    <row r="10" spans="1:6" x14ac:dyDescent="0.35">
      <c r="A10" s="13">
        <v>16</v>
      </c>
      <c r="B10" s="20">
        <f>Parameters!$C$41/A10</f>
        <v>5.0999999999999997E-2</v>
      </c>
      <c r="C10" s="7" t="str">
        <f t="shared" si="0"/>
        <v>no</v>
      </c>
      <c r="D10" s="7" t="str">
        <f t="shared" si="1"/>
        <v>no</v>
      </c>
      <c r="E10" s="17">
        <f>4*A10*Parameters!$C$9/1000</f>
        <v>3.2</v>
      </c>
      <c r="F10" s="18">
        <f>E10*1000/A10+8*Parameters!$C$9</f>
        <v>600</v>
      </c>
    </row>
    <row r="11" spans="1:6" x14ac:dyDescent="0.35">
      <c r="A11" s="13">
        <v>20</v>
      </c>
      <c r="B11" s="20">
        <f>Parameters!$C$41/A11</f>
        <v>4.0799999999999996E-2</v>
      </c>
      <c r="C11" s="7" t="str">
        <f t="shared" si="0"/>
        <v>yes</v>
      </c>
      <c r="D11" s="7" t="str">
        <f t="shared" si="1"/>
        <v>no</v>
      </c>
      <c r="E11" s="17">
        <f>4*A11*Parameters!$C$9/1000</f>
        <v>4</v>
      </c>
      <c r="F11" s="18">
        <f>E11*1000/A11+8*Parameters!$C$9</f>
        <v>600</v>
      </c>
    </row>
    <row r="12" spans="1:6" x14ac:dyDescent="0.35">
      <c r="A12" s="13">
        <v>24</v>
      </c>
      <c r="B12" s="20">
        <f>Parameters!$C$41/A12</f>
        <v>3.3999999999999996E-2</v>
      </c>
      <c r="C12" s="7" t="str">
        <f t="shared" si="0"/>
        <v>yes</v>
      </c>
      <c r="D12" s="7" t="str">
        <f t="shared" si="1"/>
        <v>no</v>
      </c>
      <c r="E12" s="17">
        <f>4*A12*Parameters!$C$9/1000</f>
        <v>4.8</v>
      </c>
      <c r="F12" s="18">
        <f>E12*1000/A12+8*Parameters!$C$9</f>
        <v>600</v>
      </c>
    </row>
    <row r="13" spans="1:6" x14ac:dyDescent="0.35">
      <c r="A13" s="13">
        <v>27</v>
      </c>
      <c r="B13" s="20">
        <f>Parameters!$C$41/A13</f>
        <v>3.022222222222222E-2</v>
      </c>
      <c r="C13" s="7" t="str">
        <f t="shared" si="0"/>
        <v>yes</v>
      </c>
      <c r="D13" s="7" t="str">
        <f t="shared" si="1"/>
        <v>no</v>
      </c>
      <c r="E13" s="17">
        <f>4*A13*Parameters!$C$9/1000</f>
        <v>5.4</v>
      </c>
      <c r="F13" s="18">
        <f>E13*1000/A13+8*Parameters!$C$9</f>
        <v>600</v>
      </c>
    </row>
    <row r="14" spans="1:6" x14ac:dyDescent="0.35">
      <c r="A14" s="13">
        <v>28</v>
      </c>
      <c r="B14" s="20">
        <f>Parameters!$C$41/A14</f>
        <v>2.914285714285714E-2</v>
      </c>
      <c r="C14" s="7" t="str">
        <f t="shared" si="0"/>
        <v>yes</v>
      </c>
      <c r="D14" s="7" t="str">
        <f t="shared" si="1"/>
        <v>yes</v>
      </c>
      <c r="E14" s="17">
        <f>4*A14*Parameters!$C$9/1000</f>
        <v>5.6</v>
      </c>
      <c r="F14" s="18">
        <f>E14*1000/A14+8*Parameters!$C$9</f>
        <v>600</v>
      </c>
    </row>
    <row r="15" spans="1:6" x14ac:dyDescent="0.35">
      <c r="A15" s="13">
        <v>32</v>
      </c>
      <c r="B15" s="20">
        <f>Parameters!$C$41/A15</f>
        <v>2.5499999999999998E-2</v>
      </c>
      <c r="C15" s="7" t="str">
        <f t="shared" si="0"/>
        <v>yes</v>
      </c>
      <c r="D15" s="7" t="str">
        <f t="shared" si="1"/>
        <v>yes</v>
      </c>
      <c r="E15" s="17">
        <f>4*A15*Parameters!$C$9/1000</f>
        <v>6.4</v>
      </c>
      <c r="F15" s="18">
        <f>E15*1000/A15+8*Parameters!$C$9</f>
        <v>600</v>
      </c>
    </row>
    <row r="16" spans="1:6" x14ac:dyDescent="0.35">
      <c r="A16" s="13">
        <v>48</v>
      </c>
      <c r="B16" s="20">
        <f>Parameters!$C$41/A16</f>
        <v>1.6999999999999998E-2</v>
      </c>
      <c r="C16" s="7" t="str">
        <f t="shared" si="0"/>
        <v>yes</v>
      </c>
      <c r="D16" s="7" t="str">
        <f t="shared" si="1"/>
        <v>yes</v>
      </c>
      <c r="E16" s="17">
        <f>4*A16*Parameters!$C$9/1000</f>
        <v>9.6</v>
      </c>
      <c r="F16" s="18">
        <f>E16*1000/A16+8*Parameters!$C$9</f>
        <v>600</v>
      </c>
    </row>
    <row r="17" spans="1:9" x14ac:dyDescent="0.35">
      <c r="A17" s="13">
        <v>64</v>
      </c>
      <c r="B17" s="20">
        <f>Parameters!$C$41/A17</f>
        <v>1.2749999999999999E-2</v>
      </c>
      <c r="C17" s="7" t="str">
        <f t="shared" si="0"/>
        <v>yes</v>
      </c>
      <c r="D17" s="7" t="str">
        <f t="shared" si="1"/>
        <v>yes</v>
      </c>
      <c r="E17" s="17">
        <f>4*A17*Parameters!$C$9/1000</f>
        <v>12.8</v>
      </c>
      <c r="F17" s="18">
        <f>E17*1000/A17+8*Parameters!$C$9</f>
        <v>600</v>
      </c>
    </row>
    <row r="19" spans="1:9" ht="23.9" customHeight="1" x14ac:dyDescent="0.35">
      <c r="A19" s="31" t="s">
        <v>415</v>
      </c>
      <c r="B19" s="31"/>
      <c r="C19" s="31"/>
      <c r="D19" s="31"/>
      <c r="E19" s="17">
        <f>Parameters!$C$41/0.05</f>
        <v>16.319999999999997</v>
      </c>
      <c r="F19" s="7" t="s">
        <v>416</v>
      </c>
    </row>
    <row r="20" spans="1:9" ht="15" customHeight="1" x14ac:dyDescent="0.35">
      <c r="A20" s="31" t="s">
        <v>417</v>
      </c>
      <c r="B20" s="31"/>
      <c r="C20" s="31"/>
      <c r="D20" s="31"/>
      <c r="E20" s="17">
        <f>Parameters!$C$41/0.03</f>
        <v>27.2</v>
      </c>
      <c r="F20" s="7" t="s">
        <v>418</v>
      </c>
    </row>
    <row r="21" spans="1:9" ht="23.9" customHeight="1" x14ac:dyDescent="0.35">
      <c r="A21" s="31" t="s">
        <v>419</v>
      </c>
      <c r="B21" s="31"/>
      <c r="C21" s="31"/>
      <c r="D21" s="31"/>
      <c r="E21" s="20">
        <f>2*Parameters!$C$42*Parameters!$C$43</f>
        <v>0.04</v>
      </c>
      <c r="F21" s="7" t="s">
        <v>420</v>
      </c>
    </row>
    <row r="22" spans="1:9" ht="15" customHeight="1" x14ac:dyDescent="0.35">
      <c r="A22" s="31" t="s">
        <v>421</v>
      </c>
      <c r="B22" s="31"/>
      <c r="C22" s="31"/>
      <c r="D22" s="31"/>
      <c r="E22" s="13">
        <v>1</v>
      </c>
      <c r="F22" s="14">
        <f>1/(E22*Parameters!$C$6)</f>
        <v>10000</v>
      </c>
      <c r="G22" s="28" t="s">
        <v>422</v>
      </c>
    </row>
    <row r="23" spans="1:9" ht="23.9" customHeight="1" x14ac:dyDescent="0.35">
      <c r="A23" s="31" t="s">
        <v>423</v>
      </c>
      <c r="B23" s="31"/>
      <c r="C23" s="31"/>
      <c r="D23" s="31"/>
      <c r="E23" s="13">
        <v>10</v>
      </c>
      <c r="F23" s="29">
        <v>5.3999999999999998E-5</v>
      </c>
      <c r="G23" s="29">
        <v>2.2000000000000001E-3</v>
      </c>
      <c r="H23" s="17">
        <f>E23*F23/G23*1000</f>
        <v>245.45454545454544</v>
      </c>
      <c r="I23" s="28" t="s">
        <v>424</v>
      </c>
    </row>
    <row r="24" spans="1:9" ht="23.9" customHeight="1" x14ac:dyDescent="0.35">
      <c r="A24" s="31" t="s">
        <v>425</v>
      </c>
      <c r="B24" s="31"/>
      <c r="C24" s="31"/>
      <c r="D24" s="31"/>
      <c r="E24" s="12">
        <f>'§3 Case A'!G52</f>
        <v>12</v>
      </c>
      <c r="F24" s="7" t="str">
        <f>IF(E24&lt;CEILING(Parameters!$C$41/0.05,1),"empty window on a shared bus","window exists")</f>
        <v>empty window on a shared bus</v>
      </c>
    </row>
  </sheetData>
  <mergeCells count="6">
    <mergeCell ref="A24:D24"/>
    <mergeCell ref="A19:D19"/>
    <mergeCell ref="A20:D20"/>
    <mergeCell ref="A21:D21"/>
    <mergeCell ref="A22:D22"/>
    <mergeCell ref="A23:D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README</vt:lpstr>
      <vt:lpstr>Parameters</vt:lpstr>
      <vt:lpstr>§2 Cost models</vt:lpstr>
      <vt:lpstr>§2.5 Budget method</vt:lpstr>
      <vt:lpstr>§3 Case A</vt:lpstr>
      <vt:lpstr>§4 Case B</vt:lpstr>
      <vt:lpstr>§5 Case C</vt:lpstr>
      <vt:lpstr>§6 Scaling laws</vt:lpstr>
      <vt:lpstr>§7 Scheduling</vt:lpstr>
      <vt:lpstr>§8 Comparative</vt:lpstr>
      <vt:lpstr>§9 Harmonics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ZAID JABBAR</dc:creator>
  <dc:description/>
  <cp:lastModifiedBy>Zaid Jabbar</cp:lastModifiedBy>
  <cp:revision>1</cp:revision>
  <dcterms:created xsi:type="dcterms:W3CDTF">2026-08-20T10:26:18Z</dcterms:created>
  <dcterms:modified xsi:type="dcterms:W3CDTF">2026-09-03T16:05:24Z</dcterms:modified>
  <dc:language>en-US</dc:language>
</cp:coreProperties>
</file>