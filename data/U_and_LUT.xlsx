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bbarz\Desktop\plan PhD\augest\Nouveau dossier\LAST\"/>
    </mc:Choice>
  </mc:AlternateContent>
  <xr:revisionPtr revIDLastSave="0" documentId="8_{4510500F-FB57-4C99-991F-F9B58C433049}" xr6:coauthVersionLast="36" xr6:coauthVersionMax="36" xr10:uidLastSave="{00000000-0000-0000-0000-000000000000}"/>
  <bookViews>
    <workbookView xWindow="0" yWindow="0" windowWidth="14380" windowHeight="4880" tabRatio="500" activeTab="1" xr2:uid="{00000000-000D-0000-FFFF-FFFF00000000}"/>
  </bookViews>
  <sheets>
    <sheet name="Figure" sheetId="1" r:id="rId1"/>
    <sheet name="Inputs" sheetId="2" r:id="rId2"/>
    <sheet name="Left U(N)" sheetId="3" r:id="rId3"/>
    <sheet name="Right LUT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4" l="1"/>
  <c r="C9" i="4"/>
  <c r="B9" i="4"/>
  <c r="A9" i="4"/>
  <c r="G8" i="4"/>
  <c r="C8" i="4"/>
  <c r="B8" i="4"/>
  <c r="A8" i="4"/>
  <c r="G7" i="4"/>
  <c r="C7" i="4"/>
  <c r="B7" i="4"/>
  <c r="A7" i="4"/>
  <c r="G6" i="4"/>
  <c r="C6" i="4"/>
  <c r="B6" i="4"/>
  <c r="A6" i="4"/>
  <c r="H5" i="4"/>
  <c r="D5" i="4"/>
  <c r="C5" i="4"/>
  <c r="E5" i="4" s="1"/>
  <c r="B5" i="4"/>
  <c r="G5" i="4" s="1"/>
  <c r="A5" i="4"/>
  <c r="H4" i="4"/>
  <c r="G4" i="4"/>
  <c r="C4" i="4"/>
  <c r="B4" i="4"/>
  <c r="A4" i="4"/>
  <c r="J52" i="3"/>
  <c r="H52" i="3"/>
  <c r="I52" i="3" s="1"/>
  <c r="G52" i="3"/>
  <c r="F52" i="3"/>
  <c r="E52" i="3"/>
  <c r="D52" i="3"/>
  <c r="C52" i="3"/>
  <c r="B52" i="3"/>
  <c r="J51" i="3"/>
  <c r="H51" i="3"/>
  <c r="I51" i="3" s="1"/>
  <c r="G51" i="3"/>
  <c r="D51" i="3"/>
  <c r="C51" i="3"/>
  <c r="E51" i="3" s="1"/>
  <c r="F51" i="3" s="1"/>
  <c r="B51" i="3"/>
  <c r="J50" i="3"/>
  <c r="I50" i="3"/>
  <c r="H50" i="3"/>
  <c r="G50" i="3"/>
  <c r="E50" i="3"/>
  <c r="F50" i="3" s="1"/>
  <c r="D50" i="3"/>
  <c r="C50" i="3"/>
  <c r="B50" i="3"/>
  <c r="J49" i="3"/>
  <c r="I49" i="3"/>
  <c r="H49" i="3"/>
  <c r="G49" i="3"/>
  <c r="E49" i="3"/>
  <c r="F49" i="3" s="1"/>
  <c r="D49" i="3"/>
  <c r="C49" i="3"/>
  <c r="B49" i="3"/>
  <c r="J48" i="3"/>
  <c r="G48" i="3"/>
  <c r="D48" i="3"/>
  <c r="C48" i="3"/>
  <c r="B48" i="3"/>
  <c r="H48" i="3" s="1"/>
  <c r="I48" i="3" s="1"/>
  <c r="J47" i="3"/>
  <c r="I47" i="3"/>
  <c r="H47" i="3"/>
  <c r="G47" i="3"/>
  <c r="E47" i="3"/>
  <c r="F47" i="3" s="1"/>
  <c r="D47" i="3"/>
  <c r="C47" i="3"/>
  <c r="B47" i="3"/>
  <c r="J46" i="3"/>
  <c r="I46" i="3"/>
  <c r="H46" i="3"/>
  <c r="G46" i="3"/>
  <c r="D46" i="3"/>
  <c r="E46" i="3" s="1"/>
  <c r="F46" i="3" s="1"/>
  <c r="C46" i="3"/>
  <c r="B46" i="3"/>
  <c r="J45" i="3"/>
  <c r="H45" i="3"/>
  <c r="I45" i="3" s="1"/>
  <c r="G45" i="3"/>
  <c r="E45" i="3"/>
  <c r="F45" i="3" s="1"/>
  <c r="D45" i="3"/>
  <c r="C45" i="3"/>
  <c r="B45" i="3"/>
  <c r="J44" i="3"/>
  <c r="H44" i="3"/>
  <c r="I44" i="3" s="1"/>
  <c r="G44" i="3"/>
  <c r="E44" i="3"/>
  <c r="F44" i="3" s="1"/>
  <c r="D44" i="3"/>
  <c r="C44" i="3"/>
  <c r="B44" i="3"/>
  <c r="J43" i="3"/>
  <c r="I43" i="3"/>
  <c r="H43" i="3"/>
  <c r="G43" i="3"/>
  <c r="D43" i="3"/>
  <c r="C43" i="3"/>
  <c r="E43" i="3" s="1"/>
  <c r="F43" i="3" s="1"/>
  <c r="B43" i="3"/>
  <c r="J42" i="3"/>
  <c r="H42" i="3"/>
  <c r="I42" i="3" s="1"/>
  <c r="G42" i="3"/>
  <c r="E42" i="3"/>
  <c r="F42" i="3" s="1"/>
  <c r="D42" i="3"/>
  <c r="C42" i="3"/>
  <c r="B42" i="3"/>
  <c r="J41" i="3"/>
  <c r="I41" i="3"/>
  <c r="H41" i="3"/>
  <c r="G41" i="3"/>
  <c r="F41" i="3"/>
  <c r="E41" i="3"/>
  <c r="D41" i="3"/>
  <c r="C41" i="3"/>
  <c r="B41" i="3"/>
  <c r="J40" i="3"/>
  <c r="G40" i="3"/>
  <c r="D40" i="3"/>
  <c r="C40" i="3"/>
  <c r="B40" i="3"/>
  <c r="H40" i="3" s="1"/>
  <c r="I40" i="3" s="1"/>
  <c r="J39" i="3"/>
  <c r="H39" i="3"/>
  <c r="I39" i="3" s="1"/>
  <c r="G39" i="3"/>
  <c r="F39" i="3"/>
  <c r="E39" i="3"/>
  <c r="D39" i="3"/>
  <c r="C39" i="3"/>
  <c r="B39" i="3"/>
  <c r="J38" i="3"/>
  <c r="H38" i="3"/>
  <c r="I38" i="3" s="1"/>
  <c r="G38" i="3"/>
  <c r="F38" i="3"/>
  <c r="E38" i="3"/>
  <c r="D38" i="3"/>
  <c r="C38" i="3"/>
  <c r="B38" i="3"/>
  <c r="J37" i="3"/>
  <c r="H37" i="3"/>
  <c r="I37" i="3" s="1"/>
  <c r="G37" i="3"/>
  <c r="D37" i="3"/>
  <c r="C37" i="3"/>
  <c r="E37" i="3" s="1"/>
  <c r="F37" i="3" s="1"/>
  <c r="B37" i="3"/>
  <c r="J36" i="3"/>
  <c r="I36" i="3"/>
  <c r="H36" i="3"/>
  <c r="G36" i="3"/>
  <c r="E36" i="3"/>
  <c r="F36" i="3" s="1"/>
  <c r="D36" i="3"/>
  <c r="C36" i="3"/>
  <c r="B36" i="3"/>
  <c r="J35" i="3"/>
  <c r="I35" i="3"/>
  <c r="H35" i="3"/>
  <c r="G35" i="3"/>
  <c r="E35" i="3"/>
  <c r="F35" i="3" s="1"/>
  <c r="D35" i="3"/>
  <c r="C35" i="3"/>
  <c r="B35" i="3"/>
  <c r="J34" i="3"/>
  <c r="G34" i="3"/>
  <c r="D34" i="3"/>
  <c r="C34" i="3"/>
  <c r="B34" i="3"/>
  <c r="H34" i="3" s="1"/>
  <c r="I34" i="3" s="1"/>
  <c r="J33" i="3"/>
  <c r="I33" i="3"/>
  <c r="H33" i="3"/>
  <c r="G33" i="3"/>
  <c r="E33" i="3"/>
  <c r="F33" i="3" s="1"/>
  <c r="D33" i="3"/>
  <c r="C33" i="3"/>
  <c r="B33" i="3"/>
  <c r="J32" i="3"/>
  <c r="I32" i="3"/>
  <c r="H32" i="3"/>
  <c r="G32" i="3"/>
  <c r="D32" i="3"/>
  <c r="E32" i="3" s="1"/>
  <c r="F32" i="3" s="1"/>
  <c r="C32" i="3"/>
  <c r="B32" i="3"/>
  <c r="J31" i="3"/>
  <c r="G31" i="3"/>
  <c r="D31" i="3"/>
  <c r="C31" i="3"/>
  <c r="B31" i="3"/>
  <c r="H31" i="3" s="1"/>
  <c r="I31" i="3" s="1"/>
  <c r="J30" i="3"/>
  <c r="H30" i="3"/>
  <c r="I30" i="3" s="1"/>
  <c r="G30" i="3"/>
  <c r="E30" i="3"/>
  <c r="F30" i="3" s="1"/>
  <c r="D30" i="3"/>
  <c r="C30" i="3"/>
  <c r="B30" i="3"/>
  <c r="J29" i="3"/>
  <c r="I29" i="3"/>
  <c r="H29" i="3"/>
  <c r="G29" i="3"/>
  <c r="D29" i="3"/>
  <c r="C29" i="3"/>
  <c r="E29" i="3" s="1"/>
  <c r="F29" i="3" s="1"/>
  <c r="B29" i="3"/>
  <c r="J28" i="3"/>
  <c r="H28" i="3"/>
  <c r="I28" i="3" s="1"/>
  <c r="G28" i="3"/>
  <c r="E28" i="3"/>
  <c r="F28" i="3" s="1"/>
  <c r="D28" i="3"/>
  <c r="C28" i="3"/>
  <c r="B28" i="3"/>
  <c r="J27" i="3"/>
  <c r="I27" i="3"/>
  <c r="H27" i="3"/>
  <c r="G27" i="3"/>
  <c r="F27" i="3"/>
  <c r="E27" i="3"/>
  <c r="D27" i="3"/>
  <c r="C27" i="3"/>
  <c r="B27" i="3"/>
  <c r="J26" i="3"/>
  <c r="G26" i="3"/>
  <c r="D26" i="3"/>
  <c r="C26" i="3"/>
  <c r="B26" i="3"/>
  <c r="H26" i="3" s="1"/>
  <c r="I26" i="3" s="1"/>
  <c r="J25" i="3"/>
  <c r="H25" i="3"/>
  <c r="I25" i="3" s="1"/>
  <c r="G25" i="3"/>
  <c r="F25" i="3"/>
  <c r="E25" i="3"/>
  <c r="D25" i="3"/>
  <c r="C25" i="3"/>
  <c r="B25" i="3"/>
  <c r="J24" i="3"/>
  <c r="H24" i="3"/>
  <c r="I24" i="3" s="1"/>
  <c r="G24" i="3"/>
  <c r="F24" i="3"/>
  <c r="E24" i="3"/>
  <c r="D24" i="3"/>
  <c r="C24" i="3"/>
  <c r="B24" i="3"/>
  <c r="J23" i="3"/>
  <c r="G23" i="3"/>
  <c r="D23" i="3"/>
  <c r="C23" i="3"/>
  <c r="E23" i="3" s="1"/>
  <c r="F23" i="3" s="1"/>
  <c r="B23" i="3"/>
  <c r="H23" i="3" s="1"/>
  <c r="I23" i="3" s="1"/>
  <c r="J22" i="3"/>
  <c r="I22" i="3"/>
  <c r="H22" i="3"/>
  <c r="G22" i="3"/>
  <c r="E22" i="3"/>
  <c r="F22" i="3" s="1"/>
  <c r="D22" i="3"/>
  <c r="C22" i="3"/>
  <c r="B22" i="3"/>
  <c r="J21" i="3"/>
  <c r="I21" i="3"/>
  <c r="H21" i="3"/>
  <c r="G21" i="3"/>
  <c r="E21" i="3"/>
  <c r="F21" i="3" s="1"/>
  <c r="D21" i="3"/>
  <c r="C21" i="3"/>
  <c r="B21" i="3"/>
  <c r="J20" i="3"/>
  <c r="G20" i="3"/>
  <c r="D20" i="3"/>
  <c r="C20" i="3"/>
  <c r="B20" i="3"/>
  <c r="H20" i="3" s="1"/>
  <c r="I20" i="3" s="1"/>
  <c r="J19" i="3"/>
  <c r="I19" i="3"/>
  <c r="H19" i="3"/>
  <c r="G19" i="3"/>
  <c r="E19" i="3"/>
  <c r="F19" i="3" s="1"/>
  <c r="D19" i="3"/>
  <c r="C19" i="3"/>
  <c r="B19" i="3"/>
  <c r="J18" i="3"/>
  <c r="I18" i="3"/>
  <c r="H18" i="3"/>
  <c r="G18" i="3"/>
  <c r="D18" i="3"/>
  <c r="E18" i="3" s="1"/>
  <c r="F18" i="3" s="1"/>
  <c r="C18" i="3"/>
  <c r="B18" i="3"/>
  <c r="J17" i="3"/>
  <c r="G17" i="3"/>
  <c r="D17" i="3"/>
  <c r="C17" i="3"/>
  <c r="B17" i="3"/>
  <c r="H17" i="3" s="1"/>
  <c r="I17" i="3" s="1"/>
  <c r="J16" i="3"/>
  <c r="H16" i="3"/>
  <c r="I16" i="3" s="1"/>
  <c r="G16" i="3"/>
  <c r="E16" i="3"/>
  <c r="F16" i="3" s="1"/>
  <c r="D16" i="3"/>
  <c r="C16" i="3"/>
  <c r="B16" i="3"/>
  <c r="J15" i="3"/>
  <c r="I15" i="3"/>
  <c r="H15" i="3"/>
  <c r="G15" i="3"/>
  <c r="D15" i="3"/>
  <c r="C15" i="3"/>
  <c r="E15" i="3" s="1"/>
  <c r="F15" i="3" s="1"/>
  <c r="B15" i="3"/>
  <c r="J14" i="3"/>
  <c r="H14" i="3"/>
  <c r="I14" i="3" s="1"/>
  <c r="G14" i="3"/>
  <c r="E14" i="3"/>
  <c r="F14" i="3" s="1"/>
  <c r="D14" i="3"/>
  <c r="C14" i="3"/>
  <c r="B14" i="3"/>
  <c r="J13" i="3"/>
  <c r="I13" i="3"/>
  <c r="H13" i="3"/>
  <c r="G13" i="3"/>
  <c r="F13" i="3"/>
  <c r="E13" i="3"/>
  <c r="D13" i="3"/>
  <c r="C13" i="3"/>
  <c r="B13" i="3"/>
  <c r="J12" i="3"/>
  <c r="G12" i="3"/>
  <c r="D12" i="3"/>
  <c r="C12" i="3"/>
  <c r="B12" i="3"/>
  <c r="E12" i="3" s="1"/>
  <c r="F12" i="3" s="1"/>
  <c r="J11" i="3"/>
  <c r="H11" i="3"/>
  <c r="I11" i="3" s="1"/>
  <c r="G11" i="3"/>
  <c r="F11" i="3"/>
  <c r="E11" i="3"/>
  <c r="D11" i="3"/>
  <c r="C11" i="3"/>
  <c r="B11" i="3"/>
  <c r="J10" i="3"/>
  <c r="H10" i="3"/>
  <c r="I10" i="3" s="1"/>
  <c r="G10" i="3"/>
  <c r="F10" i="3"/>
  <c r="E10" i="3"/>
  <c r="D10" i="3"/>
  <c r="C10" i="3"/>
  <c r="B10" i="3"/>
  <c r="J9" i="3"/>
  <c r="G9" i="3"/>
  <c r="D9" i="3"/>
  <c r="C9" i="3"/>
  <c r="E9" i="3" s="1"/>
  <c r="F9" i="3" s="1"/>
  <c r="B9" i="3"/>
  <c r="H9" i="3" s="1"/>
  <c r="I9" i="3" s="1"/>
  <c r="J8" i="3"/>
  <c r="I8" i="3"/>
  <c r="H8" i="3"/>
  <c r="G8" i="3"/>
  <c r="E8" i="3"/>
  <c r="F8" i="3" s="1"/>
  <c r="D8" i="3"/>
  <c r="C8" i="3"/>
  <c r="B8" i="3"/>
  <c r="J7" i="3"/>
  <c r="H7" i="3"/>
  <c r="I7" i="3" s="1"/>
  <c r="G7" i="3"/>
  <c r="E7" i="3"/>
  <c r="F7" i="3" s="1"/>
  <c r="D7" i="3"/>
  <c r="C7" i="3"/>
  <c r="B7" i="3"/>
  <c r="J6" i="3"/>
  <c r="G6" i="3"/>
  <c r="D6" i="3"/>
  <c r="C6" i="3"/>
  <c r="B6" i="3"/>
  <c r="H6" i="3" s="1"/>
  <c r="I6" i="3" s="1"/>
  <c r="J5" i="3"/>
  <c r="H5" i="3"/>
  <c r="I5" i="3" s="1"/>
  <c r="G5" i="3"/>
  <c r="F5" i="3"/>
  <c r="E5" i="3"/>
  <c r="D5" i="3"/>
  <c r="C5" i="3"/>
  <c r="B5" i="3"/>
  <c r="J4" i="3"/>
  <c r="H4" i="3"/>
  <c r="I4" i="3" s="1"/>
  <c r="G4" i="3"/>
  <c r="E4" i="3"/>
  <c r="F4" i="3" s="1"/>
  <c r="D4" i="3"/>
  <c r="C4" i="3"/>
  <c r="B4" i="3"/>
  <c r="D29" i="2"/>
  <c r="D9" i="4" s="1"/>
  <c r="C29" i="2"/>
  <c r="C28" i="2"/>
  <c r="D28" i="2" s="1"/>
  <c r="D8" i="4" s="1"/>
  <c r="E8" i="4" s="1"/>
  <c r="C27" i="2"/>
  <c r="D27" i="2" s="1"/>
  <c r="D7" i="4" s="1"/>
  <c r="C26" i="2"/>
  <c r="D26" i="2" s="1"/>
  <c r="D6" i="4" s="1"/>
  <c r="E6" i="4" s="1"/>
  <c r="D25" i="2"/>
  <c r="C25" i="2"/>
  <c r="D24" i="2"/>
  <c r="D4" i="4" s="1"/>
  <c r="E4" i="4" s="1"/>
  <c r="C24" i="2"/>
  <c r="E9" i="4" l="1"/>
  <c r="E7" i="4"/>
  <c r="E26" i="3"/>
  <c r="F26" i="3" s="1"/>
  <c r="E40" i="3"/>
  <c r="F40" i="3" s="1"/>
  <c r="E11" i="4"/>
  <c r="E6" i="3"/>
  <c r="F6" i="3" s="1"/>
  <c r="E55" i="3" s="1"/>
  <c r="E20" i="3"/>
  <c r="F20" i="3" s="1"/>
  <c r="E34" i="3"/>
  <c r="F34" i="3" s="1"/>
  <c r="E48" i="3"/>
  <c r="F48" i="3" s="1"/>
  <c r="H12" i="3"/>
  <c r="I12" i="3" s="1"/>
  <c r="E54" i="3" s="1"/>
  <c r="E17" i="3"/>
  <c r="F17" i="3" s="1"/>
  <c r="E31" i="3"/>
  <c r="F31" i="3" s="1"/>
  <c r="K4" i="3" l="1"/>
  <c r="K5" i="3"/>
  <c r="E56" i="3"/>
  <c r="M4" i="3" l="1"/>
  <c r="M5" i="3"/>
</calcChain>
</file>

<file path=xl/sharedStrings.xml><?xml version="1.0" encoding="utf-8"?>
<sst xmlns="http://schemas.openxmlformats.org/spreadsheetml/2006/main" count="109" uniqueCount="93">
  <si>
    <t>Figure 5 — left: processor utilization U(N) vs N; right: FPGA resource usage vs N (regenerated; edit Inputs)</t>
  </si>
  <si>
    <t>Figure 5 — inputs</t>
  </si>
  <si>
    <t>Symbol</t>
  </si>
  <si>
    <t>Meaning</t>
  </si>
  <si>
    <t>Value</t>
  </si>
  <si>
    <t>Unit</t>
  </si>
  <si>
    <t>Source / note</t>
  </si>
  <si>
    <t>f_CPU</t>
  </si>
  <si>
    <t>STM32G474 clock</t>
  </si>
  <si>
    <t>Hz</t>
  </si>
  <si>
    <t>[8]</t>
  </si>
  <si>
    <t>T1</t>
  </si>
  <si>
    <t>CVB period</t>
  </si>
  <si>
    <t>s</t>
  </si>
  <si>
    <t>10 kHz</t>
  </si>
  <si>
    <t>T2</t>
  </si>
  <si>
    <t>energy period</t>
  </si>
  <si>
    <t>1 kHz</t>
  </si>
  <si>
    <t>T3</t>
  </si>
  <si>
    <t>outer period</t>
  </si>
  <si>
    <t>100 Hz</t>
  </si>
  <si>
    <t>c_CS</t>
  </si>
  <si>
    <t>compare-and-swap cost (packed bubble)</t>
  </si>
  <si>
    <t>cyc</t>
  </si>
  <si>
    <t>design estimate</t>
  </si>
  <si>
    <t>c_SEL</t>
  </si>
  <si>
    <t>selection cost per module</t>
  </si>
  <si>
    <t>C0</t>
  </si>
  <si>
    <t>CVB fixed overhead</t>
  </si>
  <si>
    <t>a2</t>
  </si>
  <si>
    <t>energy layer fixed</t>
  </si>
  <si>
    <t>b2</t>
  </si>
  <si>
    <t>energy layer per module</t>
  </si>
  <si>
    <t>C3</t>
  </si>
  <si>
    <t>outer layer</t>
  </si>
  <si>
    <t>t_SPI</t>
  </si>
  <si>
    <t>SPI frame time (20 MHz, 32 bit + 2 µs)</t>
  </si>
  <si>
    <t>Table 3</t>
  </si>
  <si>
    <t>U_bound</t>
  </si>
  <si>
    <t>RMS bound, harmonic set</t>
  </si>
  <si>
    <t>-</t>
  </si>
  <si>
    <t>[12]</t>
  </si>
  <si>
    <t>t_AUR</t>
  </si>
  <si>
    <t>Aurora stream interval per sample</t>
  </si>
  <si>
    <t>[7]</t>
  </si>
  <si>
    <t>f_FPGA</t>
  </si>
  <si>
    <t>FPGA clock</t>
  </si>
  <si>
    <t>[1]</t>
  </si>
  <si>
    <t>LUT_dev</t>
  </si>
  <si>
    <t>XC6SLX45 LUT count</t>
  </si>
  <si>
    <t>LUT</t>
  </si>
  <si>
    <t>Xilinx DS160</t>
  </si>
  <si>
    <t>N_max_FPGA</t>
  </si>
  <si>
    <t>FPGA resource-bound N_max (marker)</t>
  </si>
  <si>
    <t>report §4</t>
  </si>
  <si>
    <t>Bitonic sorting-network resources (Ricco, Mathe, Teodorescu [1], eqs. (1)–(7), max factorization; M = 64 validated, others from the equations)</t>
  </si>
  <si>
    <t>M = N</t>
  </si>
  <si>
    <t>LUT % of XC6SLX45 (input, [1])</t>
  </si>
  <si>
    <t>p = log2 M</t>
  </si>
  <si>
    <t>CS = M·p(p+1)/4</t>
  </si>
  <si>
    <t>Sort latency 2 arms (µs) [1]</t>
  </si>
  <si>
    <t>note</t>
  </si>
  <si>
    <t>from eqs.</t>
  </si>
  <si>
    <t>validated</t>
  </si>
  <si>
    <t>extrapolated</t>
  </si>
  <si>
    <t>Schedulability U(N), classical centralized — formulas</t>
  </si>
  <si>
    <t>N</t>
  </si>
  <si>
    <t>C1 = c_CS·N(N−1) + 2·c_SEL·N + C0</t>
  </si>
  <si>
    <t>C2 = a2 + b2·N</t>
  </si>
  <si>
    <t>U_DMA = C1/(f·T1) + C2/(f·T2) + C3/(f·T3)</t>
  </si>
  <si>
    <t>U_block = U_DMA + 2N·t_SPI/T1</t>
  </si>
  <si>
    <t>RMS bound</t>
  </si>
  <si>
    <t>Path single SPI (µs) = 2N·t_SPI + C1/f</t>
  </si>
  <si>
    <t>Path ≤ T1 ?</t>
  </si>
  <si>
    <t>FPGA time utilization (2N·t_AUR + sort)/T1</t>
  </si>
  <si>
    <t>comm deadline single SPI x</t>
  </si>
  <si>
    <t>comm deadline single SPI y</t>
  </si>
  <si>
    <t>U_DMA = 1 (parallel ADC) x</t>
  </si>
  <si>
    <t>U_DMA = 1 (parallel ADC) y</t>
  </si>
  <si>
    <t>N_max single-SPI comm deadline (path ≤ T1)</t>
  </si>
  <si>
    <t>N_max blocking comm (U_block ≤ bound)</t>
  </si>
  <si>
    <t>N_max DMA / parallel ADC (U_DMA ≤ bound)</t>
  </si>
  <si>
    <t>FPGA real limit: resources O(N·log²N) — formulas</t>
  </si>
  <si>
    <t>N (= M)</t>
  </si>
  <si>
    <t>LUT % (input table)</t>
  </si>
  <si>
    <t>LUT count = % × LUT_dev</t>
  </si>
  <si>
    <t>CS elements</t>
  </si>
  <si>
    <t>LUT per CS</t>
  </si>
  <si>
    <t>Device 100 %</t>
  </si>
  <si>
    <t>Feasible?</t>
  </si>
  <si>
    <t>N_max marker x</t>
  </si>
  <si>
    <t>marker y (0→140)</t>
  </si>
  <si>
    <t>N_max (resource-bound) = largest M with LUT ≤ 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</si>
</sst>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##"/>
    <numFmt numFmtId="165" formatCode="0.0%"/>
    <numFmt numFmtId="166" formatCode="0.000"/>
    <numFmt numFmtId="167" formatCode="0.0"/>
    <numFmt numFmtId="168" formatCode="0.0000"/>
  </numFmts>
  <fonts count="5" x14ac:knownFonts="1">
    <font>
      <sz val="11"/>
      <color theme="1"/>
      <name val="Calibri"/>
      <family val="2"/>
      <charset val="1"/>
    </font>
    <font>
      <b/>
      <sz val="10"/>
      <name val="Times New Roman"/>
      <charset val="1"/>
    </font>
    <font>
      <b/>
      <sz val="13"/>
      <name val="Times New Roman"/>
      <charset val="1"/>
    </font>
    <font>
      <sz val="10"/>
      <name val="Times New Roman"/>
      <charset val="1"/>
    </font>
    <font>
      <sz val="10"/>
      <color rgb="FF0000FF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1" fontId="4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2" fontId="4" fillId="3" borderId="1" xfId="0" applyNumberFormat="1" applyFont="1" applyFill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167" fontId="3" fillId="0" borderId="1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168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Schedulability: U(N), classical centralized, T1/T2/T3 = 0.1/1/10 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MCU bubble + blocking SPI comm</c:v>
          </c:tx>
          <c:spPr>
            <a:ln w="248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'Left U(N)'!$A$4:$A$52</c:f>
              <c:numCache>
                <c:formatCode>General</c:formatCode>
                <c:ptCount val="4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29</c:v>
                </c:pt>
                <c:pt idx="21">
                  <c:v>32</c:v>
                </c:pt>
                <c:pt idx="22">
                  <c:v>36</c:v>
                </c:pt>
                <c:pt idx="23">
                  <c:v>37</c:v>
                </c:pt>
                <c:pt idx="24">
                  <c:v>39</c:v>
                </c:pt>
                <c:pt idx="25">
                  <c:v>40</c:v>
                </c:pt>
                <c:pt idx="26">
                  <c:v>44</c:v>
                </c:pt>
                <c:pt idx="27">
                  <c:v>48</c:v>
                </c:pt>
                <c:pt idx="28">
                  <c:v>49</c:v>
                </c:pt>
                <c:pt idx="29">
                  <c:v>54</c:v>
                </c:pt>
                <c:pt idx="30">
                  <c:v>60</c:v>
                </c:pt>
                <c:pt idx="31">
                  <c:v>64</c:v>
                </c:pt>
                <c:pt idx="32">
                  <c:v>66</c:v>
                </c:pt>
                <c:pt idx="33">
                  <c:v>74</c:v>
                </c:pt>
                <c:pt idx="34">
                  <c:v>82</c:v>
                </c:pt>
                <c:pt idx="35">
                  <c:v>91</c:v>
                </c:pt>
                <c:pt idx="36">
                  <c:v>96</c:v>
                </c:pt>
                <c:pt idx="37">
                  <c:v>100</c:v>
                </c:pt>
                <c:pt idx="38">
                  <c:v>111</c:v>
                </c:pt>
                <c:pt idx="39">
                  <c:v>124</c:v>
                </c:pt>
                <c:pt idx="40">
                  <c:v>128</c:v>
                </c:pt>
                <c:pt idx="41">
                  <c:v>137</c:v>
                </c:pt>
                <c:pt idx="42">
                  <c:v>152</c:v>
                </c:pt>
                <c:pt idx="43">
                  <c:v>169</c:v>
                </c:pt>
                <c:pt idx="44">
                  <c:v>187</c:v>
                </c:pt>
                <c:pt idx="45">
                  <c:v>192</c:v>
                </c:pt>
                <c:pt idx="46">
                  <c:v>208</c:v>
                </c:pt>
                <c:pt idx="47">
                  <c:v>231</c:v>
                </c:pt>
                <c:pt idx="48">
                  <c:v>256</c:v>
                </c:pt>
              </c:numCache>
            </c:numRef>
          </c:xVal>
          <c:yVal>
            <c:numRef>
              <c:f>'Left U(N)'!$F$4:$F$52</c:f>
              <c:numCache>
                <c:formatCode>0.000</c:formatCode>
                <c:ptCount val="49"/>
                <c:pt idx="0">
                  <c:v>0.30668235294117646</c:v>
                </c:pt>
                <c:pt idx="1">
                  <c:v>0.38573529411764707</c:v>
                </c:pt>
                <c:pt idx="2">
                  <c:v>0.4662</c:v>
                </c:pt>
                <c:pt idx="3">
                  <c:v>0.54807647058823528</c:v>
                </c:pt>
                <c:pt idx="4">
                  <c:v>0.63136470588235294</c:v>
                </c:pt>
                <c:pt idx="5">
                  <c:v>0.71606470588235294</c:v>
                </c:pt>
                <c:pt idx="6">
                  <c:v>0.80217647058823527</c:v>
                </c:pt>
                <c:pt idx="7">
                  <c:v>0.88969999999999994</c:v>
                </c:pt>
                <c:pt idx="8">
                  <c:v>0.97863529411764705</c:v>
                </c:pt>
                <c:pt idx="9">
                  <c:v>1.0689823529411764</c:v>
                </c:pt>
                <c:pt idx="10">
                  <c:v>1.1607411764705882</c:v>
                </c:pt>
                <c:pt idx="11">
                  <c:v>1.2539117647058822</c:v>
                </c:pt>
                <c:pt idx="12">
                  <c:v>1.3484941176470588</c:v>
                </c:pt>
                <c:pt idx="13">
                  <c:v>1.4444882352941177</c:v>
                </c:pt>
                <c:pt idx="14">
                  <c:v>1.6407117647058822</c:v>
                </c:pt>
                <c:pt idx="15">
                  <c:v>1.7409411764705882</c:v>
                </c:pt>
                <c:pt idx="16">
                  <c:v>1.8425823529411762</c:v>
                </c:pt>
                <c:pt idx="17">
                  <c:v>2.0500999999999996</c:v>
                </c:pt>
                <c:pt idx="18">
                  <c:v>2.1559764705882354</c:v>
                </c:pt>
                <c:pt idx="19">
                  <c:v>2.3719647058823528</c:v>
                </c:pt>
                <c:pt idx="20">
                  <c:v>2.7065352941176468</c:v>
                </c:pt>
                <c:pt idx="21">
                  <c:v>3.0538117647058822</c:v>
                </c:pt>
                <c:pt idx="22">
                  <c:v>3.5366117647058823</c:v>
                </c:pt>
                <c:pt idx="23">
                  <c:v>3.6608411764705879</c:v>
                </c:pt>
                <c:pt idx="24">
                  <c:v>3.9135352941176471</c:v>
                </c:pt>
                <c:pt idx="25">
                  <c:v>4.0419999999999998</c:v>
                </c:pt>
                <c:pt idx="26">
                  <c:v>4.5699764705882355</c:v>
                </c:pt>
                <c:pt idx="27">
                  <c:v>5.1205411764705886</c:v>
                </c:pt>
                <c:pt idx="28">
                  <c:v>5.2617117647058826</c:v>
                </c:pt>
                <c:pt idx="29">
                  <c:v>5.9887411764705885</c:v>
                </c:pt>
                <c:pt idx="30">
                  <c:v>6.9077647058823528</c:v>
                </c:pt>
                <c:pt idx="31">
                  <c:v>7.5486823529411762</c:v>
                </c:pt>
                <c:pt idx="32">
                  <c:v>7.8776117647058825</c:v>
                </c:pt>
                <c:pt idx="33">
                  <c:v>9.2498000000000005</c:v>
                </c:pt>
                <c:pt idx="34">
                  <c:v>10.712341176470588</c:v>
                </c:pt>
                <c:pt idx="35">
                  <c:v>12.4657</c:v>
                </c:pt>
                <c:pt idx="36">
                  <c:v>13.4892</c:v>
                </c:pt>
                <c:pt idx="37">
                  <c:v>14.333411764705883</c:v>
                </c:pt>
                <c:pt idx="38">
                  <c:v>16.771464705882352</c:v>
                </c:pt>
                <c:pt idx="39">
                  <c:v>19.873035294117646</c:v>
                </c:pt>
                <c:pt idx="40">
                  <c:v>20.875364705882355</c:v>
                </c:pt>
                <c:pt idx="41">
                  <c:v>23.213194117647056</c:v>
                </c:pt>
                <c:pt idx="42">
                  <c:v>27.363694117647057</c:v>
                </c:pt>
                <c:pt idx="43">
                  <c:v>32.451594117647055</c:v>
                </c:pt>
                <c:pt idx="44">
                  <c:v>38.283488235294115</c:v>
                </c:pt>
                <c:pt idx="45">
                  <c:v>39.984635294117652</c:v>
                </c:pt>
                <c:pt idx="46">
                  <c:v>45.665482352941176</c:v>
                </c:pt>
                <c:pt idx="47">
                  <c:v>54.46487647058823</c:v>
                </c:pt>
                <c:pt idx="48">
                  <c:v>64.876494117647056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12-4578-801A-5FAD710D7491}"/>
            </c:ext>
          </c:extLst>
        </c:ser>
        <c:ser>
          <c:idx val="1"/>
          <c:order val="1"/>
          <c:tx>
            <c:v>MCU bubble, comm on DMA (parallel ADC)</c:v>
          </c:tx>
          <c:spPr>
            <a:ln w="248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'Left U(N)'!$A$4:$A$52</c:f>
              <c:numCache>
                <c:formatCode>General</c:formatCode>
                <c:ptCount val="4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29</c:v>
                </c:pt>
                <c:pt idx="21">
                  <c:v>32</c:v>
                </c:pt>
                <c:pt idx="22">
                  <c:v>36</c:v>
                </c:pt>
                <c:pt idx="23">
                  <c:v>37</c:v>
                </c:pt>
                <c:pt idx="24">
                  <c:v>39</c:v>
                </c:pt>
                <c:pt idx="25">
                  <c:v>40</c:v>
                </c:pt>
                <c:pt idx="26">
                  <c:v>44</c:v>
                </c:pt>
                <c:pt idx="27">
                  <c:v>48</c:v>
                </c:pt>
                <c:pt idx="28">
                  <c:v>49</c:v>
                </c:pt>
                <c:pt idx="29">
                  <c:v>54</c:v>
                </c:pt>
                <c:pt idx="30">
                  <c:v>60</c:v>
                </c:pt>
                <c:pt idx="31">
                  <c:v>64</c:v>
                </c:pt>
                <c:pt idx="32">
                  <c:v>66</c:v>
                </c:pt>
                <c:pt idx="33">
                  <c:v>74</c:v>
                </c:pt>
                <c:pt idx="34">
                  <c:v>82</c:v>
                </c:pt>
                <c:pt idx="35">
                  <c:v>91</c:v>
                </c:pt>
                <c:pt idx="36">
                  <c:v>96</c:v>
                </c:pt>
                <c:pt idx="37">
                  <c:v>100</c:v>
                </c:pt>
                <c:pt idx="38">
                  <c:v>111</c:v>
                </c:pt>
                <c:pt idx="39">
                  <c:v>124</c:v>
                </c:pt>
                <c:pt idx="40">
                  <c:v>128</c:v>
                </c:pt>
                <c:pt idx="41">
                  <c:v>137</c:v>
                </c:pt>
                <c:pt idx="42">
                  <c:v>152</c:v>
                </c:pt>
                <c:pt idx="43">
                  <c:v>169</c:v>
                </c:pt>
                <c:pt idx="44">
                  <c:v>187</c:v>
                </c:pt>
                <c:pt idx="45">
                  <c:v>192</c:v>
                </c:pt>
                <c:pt idx="46">
                  <c:v>208</c:v>
                </c:pt>
                <c:pt idx="47">
                  <c:v>231</c:v>
                </c:pt>
                <c:pt idx="48">
                  <c:v>256</c:v>
                </c:pt>
              </c:numCache>
            </c:numRef>
          </c:xVal>
          <c:yVal>
            <c:numRef>
              <c:f>'Left U(N)'!$E$4:$E$52</c:f>
              <c:numCache>
                <c:formatCode>0.000</c:formatCode>
                <c:ptCount val="49"/>
                <c:pt idx="0">
                  <c:v>1.8682352941176469E-2</c:v>
                </c:pt>
                <c:pt idx="1">
                  <c:v>2.5735294117647058E-2</c:v>
                </c:pt>
                <c:pt idx="2">
                  <c:v>3.4200000000000001E-2</c:v>
                </c:pt>
                <c:pt idx="3">
                  <c:v>4.4076470588235293E-2</c:v>
                </c:pt>
                <c:pt idx="4">
                  <c:v>5.5364705882352941E-2</c:v>
                </c:pt>
                <c:pt idx="5">
                  <c:v>6.806470588235293E-2</c:v>
                </c:pt>
                <c:pt idx="6">
                  <c:v>8.2176470588235281E-2</c:v>
                </c:pt>
                <c:pt idx="7">
                  <c:v>9.7699999999999995E-2</c:v>
                </c:pt>
                <c:pt idx="8">
                  <c:v>0.11463529411764706</c:v>
                </c:pt>
                <c:pt idx="9">
                  <c:v>0.13298235294117647</c:v>
                </c:pt>
                <c:pt idx="10">
                  <c:v>0.15274117647058824</c:v>
                </c:pt>
                <c:pt idx="11">
                  <c:v>0.17391176470588235</c:v>
                </c:pt>
                <c:pt idx="12">
                  <c:v>0.19649411764705882</c:v>
                </c:pt>
                <c:pt idx="13">
                  <c:v>0.22048823529411765</c:v>
                </c:pt>
                <c:pt idx="14">
                  <c:v>0.27271176470588238</c:v>
                </c:pt>
                <c:pt idx="15">
                  <c:v>0.30094117647058821</c:v>
                </c:pt>
                <c:pt idx="16">
                  <c:v>0.33058235294117644</c:v>
                </c:pt>
                <c:pt idx="17">
                  <c:v>0.39410000000000001</c:v>
                </c:pt>
                <c:pt idx="18">
                  <c:v>0.42797647058823529</c:v>
                </c:pt>
                <c:pt idx="19">
                  <c:v>0.49996470588235292</c:v>
                </c:pt>
                <c:pt idx="20">
                  <c:v>0.61853529411764707</c:v>
                </c:pt>
                <c:pt idx="21">
                  <c:v>0.7498117647058824</c:v>
                </c:pt>
                <c:pt idx="22">
                  <c:v>0.94461176470588237</c:v>
                </c:pt>
                <c:pt idx="23">
                  <c:v>0.99684117647058823</c:v>
                </c:pt>
                <c:pt idx="24">
                  <c:v>1.1055352941176471</c:v>
                </c:pt>
                <c:pt idx="25">
                  <c:v>1.1619999999999999</c:v>
                </c:pt>
                <c:pt idx="26">
                  <c:v>1.4019764705882354</c:v>
                </c:pt>
                <c:pt idx="27">
                  <c:v>1.6645411764705884</c:v>
                </c:pt>
                <c:pt idx="28">
                  <c:v>1.7337117647058826</c:v>
                </c:pt>
                <c:pt idx="29">
                  <c:v>2.1007411764705886</c:v>
                </c:pt>
                <c:pt idx="30">
                  <c:v>2.5877647058823534</c:v>
                </c:pt>
                <c:pt idx="31">
                  <c:v>2.9406823529411765</c:v>
                </c:pt>
                <c:pt idx="32">
                  <c:v>3.1256117647058823</c:v>
                </c:pt>
                <c:pt idx="33">
                  <c:v>3.9218000000000002</c:v>
                </c:pt>
                <c:pt idx="34">
                  <c:v>4.8083411764705879</c:v>
                </c:pt>
                <c:pt idx="35">
                  <c:v>5.9137000000000004</c:v>
                </c:pt>
                <c:pt idx="36">
                  <c:v>6.5772000000000004</c:v>
                </c:pt>
                <c:pt idx="37">
                  <c:v>7.1334117647058823</c:v>
                </c:pt>
                <c:pt idx="38">
                  <c:v>8.7794647058823525</c:v>
                </c:pt>
                <c:pt idx="39">
                  <c:v>10.945035294117647</c:v>
                </c:pt>
                <c:pt idx="40">
                  <c:v>11.659364705882354</c:v>
                </c:pt>
                <c:pt idx="41">
                  <c:v>13.349194117647057</c:v>
                </c:pt>
                <c:pt idx="42">
                  <c:v>16.419694117647058</c:v>
                </c:pt>
                <c:pt idx="43">
                  <c:v>20.283594117647059</c:v>
                </c:pt>
                <c:pt idx="44">
                  <c:v>24.81948823529412</c:v>
                </c:pt>
                <c:pt idx="45">
                  <c:v>26.16063529411765</c:v>
                </c:pt>
                <c:pt idx="46">
                  <c:v>30.689482352941177</c:v>
                </c:pt>
                <c:pt idx="47">
                  <c:v>37.832876470588232</c:v>
                </c:pt>
                <c:pt idx="48">
                  <c:v>46.444494117647061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12-4578-801A-5FAD710D7491}"/>
            </c:ext>
          </c:extLst>
        </c:ser>
        <c:ser>
          <c:idx val="2"/>
          <c:order val="2"/>
          <c:tx>
            <c:v>FPGA Bitonic: time utilization</c:v>
          </c:tx>
          <c:spPr>
            <a:ln w="24840">
              <a:solidFill>
                <a:srgbClr val="0000FF"/>
              </a:solidFill>
              <a:round/>
            </a:ln>
          </c:spPr>
          <c:marker>
            <c:symbol val="circle"/>
            <c:size val="6"/>
            <c:spPr>
              <a:solidFill>
                <a:srgbClr val="00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'Left U(N)'!$A$4:$A$52</c:f>
              <c:numCache>
                <c:formatCode>General</c:formatCode>
                <c:ptCount val="4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29</c:v>
                </c:pt>
                <c:pt idx="21">
                  <c:v>32</c:v>
                </c:pt>
                <c:pt idx="22">
                  <c:v>36</c:v>
                </c:pt>
                <c:pt idx="23">
                  <c:v>37</c:v>
                </c:pt>
                <c:pt idx="24">
                  <c:v>39</c:v>
                </c:pt>
                <c:pt idx="25">
                  <c:v>40</c:v>
                </c:pt>
                <c:pt idx="26">
                  <c:v>44</c:v>
                </c:pt>
                <c:pt idx="27">
                  <c:v>48</c:v>
                </c:pt>
                <c:pt idx="28">
                  <c:v>49</c:v>
                </c:pt>
                <c:pt idx="29">
                  <c:v>54</c:v>
                </c:pt>
                <c:pt idx="30">
                  <c:v>60</c:v>
                </c:pt>
                <c:pt idx="31">
                  <c:v>64</c:v>
                </c:pt>
                <c:pt idx="32">
                  <c:v>66</c:v>
                </c:pt>
                <c:pt idx="33">
                  <c:v>74</c:v>
                </c:pt>
                <c:pt idx="34">
                  <c:v>82</c:v>
                </c:pt>
                <c:pt idx="35">
                  <c:v>91</c:v>
                </c:pt>
                <c:pt idx="36">
                  <c:v>96</c:v>
                </c:pt>
                <c:pt idx="37">
                  <c:v>100</c:v>
                </c:pt>
                <c:pt idx="38">
                  <c:v>111</c:v>
                </c:pt>
                <c:pt idx="39">
                  <c:v>124</c:v>
                </c:pt>
                <c:pt idx="40">
                  <c:v>128</c:v>
                </c:pt>
                <c:pt idx="41">
                  <c:v>137</c:v>
                </c:pt>
                <c:pt idx="42">
                  <c:v>152</c:v>
                </c:pt>
                <c:pt idx="43">
                  <c:v>169</c:v>
                </c:pt>
                <c:pt idx="44">
                  <c:v>187</c:v>
                </c:pt>
                <c:pt idx="45">
                  <c:v>192</c:v>
                </c:pt>
                <c:pt idx="46">
                  <c:v>208</c:v>
                </c:pt>
                <c:pt idx="47">
                  <c:v>231</c:v>
                </c:pt>
                <c:pt idx="48">
                  <c:v>256</c:v>
                </c:pt>
              </c:numCache>
            </c:numRef>
          </c:xVal>
          <c:yVal>
            <c:numRef>
              <c:f>'Left U(N)'!$J$4:$J$52</c:f>
              <c:numCache>
                <c:formatCode>0.0000</c:formatCode>
                <c:ptCount val="49"/>
                <c:pt idx="0">
                  <c:v>6.7999999999999996E-3</c:v>
                </c:pt>
                <c:pt idx="1">
                  <c:v>7.6E-3</c:v>
                </c:pt>
                <c:pt idx="2">
                  <c:v>8.4000000000000012E-3</c:v>
                </c:pt>
                <c:pt idx="3">
                  <c:v>9.1999999999999998E-3</c:v>
                </c:pt>
                <c:pt idx="4">
                  <c:v>0.01</c:v>
                </c:pt>
                <c:pt idx="5">
                  <c:v>1.1599999999999999E-2</c:v>
                </c:pt>
                <c:pt idx="6">
                  <c:v>1.24E-2</c:v>
                </c:pt>
                <c:pt idx="7">
                  <c:v>1.32E-2</c:v>
                </c:pt>
                <c:pt idx="8">
                  <c:v>1.4000000000000002E-2</c:v>
                </c:pt>
                <c:pt idx="9">
                  <c:v>1.4800000000000001E-2</c:v>
                </c:pt>
                <c:pt idx="10">
                  <c:v>1.5600000000000001E-2</c:v>
                </c:pt>
                <c:pt idx="11">
                  <c:v>1.6399999999999998E-2</c:v>
                </c:pt>
                <c:pt idx="12">
                  <c:v>1.72E-2</c:v>
                </c:pt>
                <c:pt idx="13">
                  <c:v>0.02</c:v>
                </c:pt>
                <c:pt idx="14">
                  <c:v>2.1600000000000001E-2</c:v>
                </c:pt>
                <c:pt idx="15">
                  <c:v>2.2399999999999996E-2</c:v>
                </c:pt>
                <c:pt idx="16">
                  <c:v>2.3199999999999998E-2</c:v>
                </c:pt>
                <c:pt idx="17">
                  <c:v>2.4799999999999999E-2</c:v>
                </c:pt>
                <c:pt idx="18">
                  <c:v>2.5600000000000001E-2</c:v>
                </c:pt>
                <c:pt idx="19">
                  <c:v>2.7200000000000002E-2</c:v>
                </c:pt>
                <c:pt idx="20">
                  <c:v>2.9600000000000005E-2</c:v>
                </c:pt>
                <c:pt idx="21">
                  <c:v>3.2000000000000001E-2</c:v>
                </c:pt>
                <c:pt idx="22">
                  <c:v>3.7599999999999995E-2</c:v>
                </c:pt>
                <c:pt idx="23">
                  <c:v>3.8399999999999997E-2</c:v>
                </c:pt>
                <c:pt idx="24">
                  <c:v>0.04</c:v>
                </c:pt>
                <c:pt idx="25">
                  <c:v>4.0800000000000003E-2</c:v>
                </c:pt>
                <c:pt idx="26">
                  <c:v>4.4000000000000004E-2</c:v>
                </c:pt>
                <c:pt idx="27">
                  <c:v>4.7200000000000006E-2</c:v>
                </c:pt>
                <c:pt idx="28">
                  <c:v>4.8000000000000001E-2</c:v>
                </c:pt>
                <c:pt idx="29">
                  <c:v>5.2000000000000005E-2</c:v>
                </c:pt>
                <c:pt idx="30">
                  <c:v>5.6799999999999996E-2</c:v>
                </c:pt>
                <c:pt idx="31">
                  <c:v>0.06</c:v>
                </c:pt>
                <c:pt idx="32">
                  <c:v>6.4399999999999999E-2</c:v>
                </c:pt>
                <c:pt idx="33">
                  <c:v>7.0800000000000002E-2</c:v>
                </c:pt>
                <c:pt idx="34">
                  <c:v>7.7199999999999991E-2</c:v>
                </c:pt>
                <c:pt idx="35">
                  <c:v>8.4399999999999989E-2</c:v>
                </c:pt>
                <c:pt idx="36">
                  <c:v>8.8399999999999992E-2</c:v>
                </c:pt>
                <c:pt idx="37">
                  <c:v>9.1600000000000001E-2</c:v>
                </c:pt>
                <c:pt idx="38">
                  <c:v>0.10039999999999999</c:v>
                </c:pt>
                <c:pt idx="39">
                  <c:v>0.1108</c:v>
                </c:pt>
                <c:pt idx="40">
                  <c:v>0.114</c:v>
                </c:pt>
                <c:pt idx="41">
                  <c:v>0.12440000000000001</c:v>
                </c:pt>
                <c:pt idx="42">
                  <c:v>0.13639999999999999</c:v>
                </c:pt>
                <c:pt idx="43">
                  <c:v>0.15000000000000002</c:v>
                </c:pt>
                <c:pt idx="44">
                  <c:v>0.16440000000000002</c:v>
                </c:pt>
                <c:pt idx="45">
                  <c:v>0.16839999999999999</c:v>
                </c:pt>
                <c:pt idx="46">
                  <c:v>0.1812</c:v>
                </c:pt>
                <c:pt idx="47">
                  <c:v>0.1996</c:v>
                </c:pt>
                <c:pt idx="48">
                  <c:v>0.21960000000000002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12-4578-801A-5FAD710D7491}"/>
            </c:ext>
          </c:extLst>
        </c:ser>
        <c:ser>
          <c:idx val="3"/>
          <c:order val="3"/>
          <c:tx>
            <c:v>RMS bound (harmonic set) U = 1</c:v>
          </c:tx>
          <c:spPr>
            <a:ln w="1512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'Left U(N)'!$A$4:$A$52</c:f>
              <c:numCache>
                <c:formatCode>General</c:formatCode>
                <c:ptCount val="4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29</c:v>
                </c:pt>
                <c:pt idx="21">
                  <c:v>32</c:v>
                </c:pt>
                <c:pt idx="22">
                  <c:v>36</c:v>
                </c:pt>
                <c:pt idx="23">
                  <c:v>37</c:v>
                </c:pt>
                <c:pt idx="24">
                  <c:v>39</c:v>
                </c:pt>
                <c:pt idx="25">
                  <c:v>40</c:v>
                </c:pt>
                <c:pt idx="26">
                  <c:v>44</c:v>
                </c:pt>
                <c:pt idx="27">
                  <c:v>48</c:v>
                </c:pt>
                <c:pt idx="28">
                  <c:v>49</c:v>
                </c:pt>
                <c:pt idx="29">
                  <c:v>54</c:v>
                </c:pt>
                <c:pt idx="30">
                  <c:v>60</c:v>
                </c:pt>
                <c:pt idx="31">
                  <c:v>64</c:v>
                </c:pt>
                <c:pt idx="32">
                  <c:v>66</c:v>
                </c:pt>
                <c:pt idx="33">
                  <c:v>74</c:v>
                </c:pt>
                <c:pt idx="34">
                  <c:v>82</c:v>
                </c:pt>
                <c:pt idx="35">
                  <c:v>91</c:v>
                </c:pt>
                <c:pt idx="36">
                  <c:v>96</c:v>
                </c:pt>
                <c:pt idx="37">
                  <c:v>100</c:v>
                </c:pt>
                <c:pt idx="38">
                  <c:v>111</c:v>
                </c:pt>
                <c:pt idx="39">
                  <c:v>124</c:v>
                </c:pt>
                <c:pt idx="40">
                  <c:v>128</c:v>
                </c:pt>
                <c:pt idx="41">
                  <c:v>137</c:v>
                </c:pt>
                <c:pt idx="42">
                  <c:v>152</c:v>
                </c:pt>
                <c:pt idx="43">
                  <c:v>169</c:v>
                </c:pt>
                <c:pt idx="44">
                  <c:v>187</c:v>
                </c:pt>
                <c:pt idx="45">
                  <c:v>192</c:v>
                </c:pt>
                <c:pt idx="46">
                  <c:v>208</c:v>
                </c:pt>
                <c:pt idx="47">
                  <c:v>231</c:v>
                </c:pt>
                <c:pt idx="48">
                  <c:v>256</c:v>
                </c:pt>
              </c:numCache>
            </c:numRef>
          </c:xVal>
          <c:yVal>
            <c:numRef>
              <c:f>'Left U(N)'!$G$4:$G$52</c:f>
              <c:numCache>
                <c:formatCode>0.0</c:formatCode>
                <c:ptCount val="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12-4578-801A-5FAD710D7491}"/>
            </c:ext>
          </c:extLst>
        </c:ser>
        <c:ser>
          <c:idx val="4"/>
          <c:order val="4"/>
          <c:tx>
            <c:v>comm deadline single SPI</c:v>
          </c:tx>
          <c:spPr>
            <a:ln w="24840">
              <a:solidFill>
                <a:srgbClr val="FF8C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'Left U(N)'!$K$4:$K$5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xVal>
          <c:yVal>
            <c:numRef>
              <c:f>'Left U(N)'!$L$4:$L$5</c:f>
              <c:numCache>
                <c:formatCode>General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12-4578-801A-5FAD710D7491}"/>
            </c:ext>
          </c:extLst>
        </c:ser>
        <c:ser>
          <c:idx val="5"/>
          <c:order val="5"/>
          <c:tx>
            <c:v>U_DMA = 1 (parallel ADC)</c:v>
          </c:tx>
          <c:spPr>
            <a:ln w="2484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'Left U(N)'!$M$4:$M$5</c:f>
              <c:numCache>
                <c:formatCode>General</c:formatCode>
                <c:ptCount val="2"/>
                <c:pt idx="0">
                  <c:v>37</c:v>
                </c:pt>
                <c:pt idx="1">
                  <c:v>37</c:v>
                </c:pt>
              </c:numCache>
            </c:numRef>
          </c:xVal>
          <c:yVal>
            <c:numRef>
              <c:f>'Left U(N)'!$N$4:$N$5</c:f>
              <c:numCache>
                <c:formatCode>General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12-4578-801A-5FAD710D7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13887"/>
        <c:axId val="37185455"/>
      </c:scatterChart>
      <c:valAx>
        <c:axId val="49713887"/>
        <c:scaling>
          <c:logBase val="10"/>
          <c:orientation val="minMax"/>
          <c:max val="300"/>
          <c:min val="4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 per arm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185455"/>
        <c:crosses val="autoZero"/>
        <c:crossBetween val="midCat"/>
      </c:valAx>
      <c:valAx>
        <c:axId val="37185455"/>
        <c:scaling>
          <c:orientation val="minMax"/>
          <c:max val="1.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Processor utilization U(N)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138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FPGA real limit: resources O(N·log²N), time never binds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Bitonic SN resources (max factorization)</c:v>
          </c:tx>
          <c:spPr>
            <a:ln w="24840">
              <a:solidFill>
                <a:srgbClr val="0000FF"/>
              </a:solidFill>
              <a:round/>
            </a:ln>
          </c:spPr>
          <c:marker>
            <c:symbol val="square"/>
            <c:size val="7"/>
            <c:spPr>
              <a:solidFill>
                <a:srgbClr val="00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'Right LUT'!$A$4:$A$9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'Right LUT'!$B$4:$B$9</c:f>
              <c:numCache>
                <c:formatCode>0.0</c:formatCode>
                <c:ptCount val="6"/>
                <c:pt idx="0">
                  <c:v>1.5</c:v>
                </c:pt>
                <c:pt idx="1">
                  <c:v>3</c:v>
                </c:pt>
                <c:pt idx="2">
                  <c:v>8</c:v>
                </c:pt>
                <c:pt idx="3">
                  <c:v>21</c:v>
                </c:pt>
                <c:pt idx="4">
                  <c:v>55.000000000000007</c:v>
                </c:pt>
                <c:pt idx="5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9F-4F6D-BE40-A07341BFC72C}"/>
            </c:ext>
          </c:extLst>
        </c:ser>
        <c:ser>
          <c:idx val="1"/>
          <c:order val="1"/>
          <c:tx>
            <c:v>XC6SLX45 = 100%</c:v>
          </c:tx>
          <c:spPr>
            <a:ln w="1512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'Right LUT'!$A$4:$A$9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'Right LUT'!$F$4:$F$9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9F-4F6D-BE40-A07341BFC72C}"/>
            </c:ext>
          </c:extLst>
        </c:ser>
        <c:ser>
          <c:idx val="2"/>
          <c:order val="2"/>
          <c:tx>
            <c:v>FPGA N_max = 128 (resource-bound)</c:v>
          </c:tx>
          <c:spPr>
            <a:ln w="2484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'Right LUT'!$H$4:$H$5</c:f>
              <c:numCache>
                <c:formatCode>#,##0.##</c:formatCode>
                <c:ptCount val="2"/>
                <c:pt idx="0">
                  <c:v>128</c:v>
                </c:pt>
                <c:pt idx="1">
                  <c:v>128</c:v>
                </c:pt>
              </c:numCache>
            </c:numRef>
          </c:xVal>
          <c:yVal>
            <c:numRef>
              <c:f>'Right LUT'!$I$4:$I$5</c:f>
              <c:numCache>
                <c:formatCode>General</c:formatCode>
                <c:ptCount val="2"/>
                <c:pt idx="0">
                  <c:v>0</c:v>
                </c:pt>
                <c:pt idx="1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9F-4F6D-BE40-A07341BF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05419"/>
        <c:axId val="42988372"/>
      </c:scatterChart>
      <c:valAx>
        <c:axId val="62005419"/>
        <c:scaling>
          <c:logBase val="10"/>
          <c:orientation val="minMax"/>
          <c:max val="300"/>
          <c:min val="6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 per arm (= 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88372"/>
        <c:crosses val="autoZero"/>
        <c:crossBetween val="midCat"/>
      </c:valAx>
      <c:valAx>
        <c:axId val="42988372"/>
        <c:scaling>
          <c:orientation val="minMax"/>
          <c:max val="14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LUT usage [% of Spartan-6 XC6SLX45]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00541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4680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21</xdr:col>
      <xdr:colOff>4680</xdr:colOff>
      <xdr:row>24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11" zoomScaleNormal="100" workbookViewId="0"/>
  </sheetViews>
  <sheetFormatPr baseColWidth="10" defaultColWidth="8.6328125" defaultRowHeight="14.5" x14ac:dyDescent="0.35"/>
  <sheetData>
    <row r="1" spans="1:1" x14ac:dyDescent="0.35">
      <c r="A1" s="1" t="s"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tabSelected="1" zoomScaleNormal="100" workbookViewId="0"/>
  </sheetViews>
  <sheetFormatPr baseColWidth="10" defaultColWidth="8.6328125" defaultRowHeight="14.5" x14ac:dyDescent="0.35"/>
  <cols>
    <col min="1" max="1" width="12" customWidth="1"/>
    <col min="2" max="2" width="44" customWidth="1"/>
    <col min="3" max="3" width="14" customWidth="1"/>
    <col min="4" max="4" width="8" customWidth="1"/>
    <col min="5" max="5" width="60" customWidth="1"/>
    <col min="6" max="6" width="30" customWidth="1"/>
  </cols>
  <sheetData>
    <row r="1" spans="1:5" ht="16.5" x14ac:dyDescent="0.35">
      <c r="A1" s="2" t="s">
        <v>1</v>
      </c>
    </row>
    <row r="3" spans="1:5" ht="48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5">
      <c r="A4" s="4" t="s">
        <v>7</v>
      </c>
      <c r="B4" s="5" t="s">
        <v>8</v>
      </c>
      <c r="C4" s="6">
        <v>170000000</v>
      </c>
      <c r="D4" s="5" t="s">
        <v>9</v>
      </c>
      <c r="E4" s="5" t="s">
        <v>10</v>
      </c>
    </row>
    <row r="5" spans="1:5" x14ac:dyDescent="0.35">
      <c r="A5" s="4" t="s">
        <v>11</v>
      </c>
      <c r="B5" s="5" t="s">
        <v>12</v>
      </c>
      <c r="C5" s="7">
        <v>1E-4</v>
      </c>
      <c r="D5" s="5" t="s">
        <v>13</v>
      </c>
      <c r="E5" s="5" t="s">
        <v>14</v>
      </c>
    </row>
    <row r="6" spans="1:5" x14ac:dyDescent="0.35">
      <c r="A6" s="4" t="s">
        <v>15</v>
      </c>
      <c r="B6" s="5" t="s">
        <v>16</v>
      </c>
      <c r="C6" s="7">
        <v>1E-3</v>
      </c>
      <c r="D6" s="5" t="s">
        <v>13</v>
      </c>
      <c r="E6" s="5" t="s">
        <v>17</v>
      </c>
    </row>
    <row r="7" spans="1:5" x14ac:dyDescent="0.35">
      <c r="A7" s="4" t="s">
        <v>18</v>
      </c>
      <c r="B7" s="5" t="s">
        <v>19</v>
      </c>
      <c r="C7" s="6">
        <v>0.01</v>
      </c>
      <c r="D7" s="5" t="s">
        <v>13</v>
      </c>
      <c r="E7" s="5" t="s">
        <v>20</v>
      </c>
    </row>
    <row r="8" spans="1:5" x14ac:dyDescent="0.35">
      <c r="A8" s="4" t="s">
        <v>21</v>
      </c>
      <c r="B8" s="5" t="s">
        <v>22</v>
      </c>
      <c r="C8" s="6">
        <v>12</v>
      </c>
      <c r="D8" s="5" t="s">
        <v>23</v>
      </c>
      <c r="E8" s="5" t="s">
        <v>24</v>
      </c>
    </row>
    <row r="9" spans="1:5" x14ac:dyDescent="0.35">
      <c r="A9" s="4" t="s">
        <v>25</v>
      </c>
      <c r="B9" s="5" t="s">
        <v>26</v>
      </c>
      <c r="C9" s="6">
        <v>11</v>
      </c>
      <c r="D9" s="5" t="s">
        <v>23</v>
      </c>
      <c r="E9" s="5" t="s">
        <v>24</v>
      </c>
    </row>
    <row r="10" spans="1:5" x14ac:dyDescent="0.35">
      <c r="A10" s="4" t="s">
        <v>27</v>
      </c>
      <c r="B10" s="5" t="s">
        <v>28</v>
      </c>
      <c r="C10" s="6">
        <v>50</v>
      </c>
      <c r="D10" s="5" t="s">
        <v>23</v>
      </c>
      <c r="E10" s="5"/>
    </row>
    <row r="11" spans="1:5" x14ac:dyDescent="0.35">
      <c r="A11" s="4" t="s">
        <v>29</v>
      </c>
      <c r="B11" s="5" t="s">
        <v>30</v>
      </c>
      <c r="C11" s="6">
        <v>200</v>
      </c>
      <c r="D11" s="5" t="s">
        <v>23</v>
      </c>
      <c r="E11" s="5"/>
    </row>
    <row r="12" spans="1:5" x14ac:dyDescent="0.35">
      <c r="A12" s="4" t="s">
        <v>31</v>
      </c>
      <c r="B12" s="5" t="s">
        <v>32</v>
      </c>
      <c r="C12" s="6">
        <v>19</v>
      </c>
      <c r="D12" s="5" t="s">
        <v>23</v>
      </c>
      <c r="E12" s="5"/>
    </row>
    <row r="13" spans="1:5" x14ac:dyDescent="0.35">
      <c r="A13" s="4" t="s">
        <v>33</v>
      </c>
      <c r="B13" s="5" t="s">
        <v>34</v>
      </c>
      <c r="C13" s="6">
        <v>800</v>
      </c>
      <c r="D13" s="5" t="s">
        <v>23</v>
      </c>
      <c r="E13" s="5"/>
    </row>
    <row r="14" spans="1:5" x14ac:dyDescent="0.35">
      <c r="A14" s="4" t="s">
        <v>35</v>
      </c>
      <c r="B14" s="5" t="s">
        <v>36</v>
      </c>
      <c r="C14" s="7">
        <v>3.5999999999999998E-6</v>
      </c>
      <c r="D14" s="5" t="s">
        <v>13</v>
      </c>
      <c r="E14" s="5" t="s">
        <v>37</v>
      </c>
    </row>
    <row r="15" spans="1:5" x14ac:dyDescent="0.35">
      <c r="A15" s="4" t="s">
        <v>38</v>
      </c>
      <c r="B15" s="5" t="s">
        <v>39</v>
      </c>
      <c r="C15" s="6">
        <v>1</v>
      </c>
      <c r="D15" s="5" t="s">
        <v>40</v>
      </c>
      <c r="E15" s="5" t="s">
        <v>41</v>
      </c>
    </row>
    <row r="16" spans="1:5" x14ac:dyDescent="0.35">
      <c r="A16" s="4" t="s">
        <v>42</v>
      </c>
      <c r="B16" s="5" t="s">
        <v>43</v>
      </c>
      <c r="C16" s="7">
        <v>4.0000000000000001E-8</v>
      </c>
      <c r="D16" s="5" t="s">
        <v>13</v>
      </c>
      <c r="E16" s="5" t="s">
        <v>44</v>
      </c>
    </row>
    <row r="17" spans="1:6" x14ac:dyDescent="0.35">
      <c r="A17" s="4" t="s">
        <v>45</v>
      </c>
      <c r="B17" s="5" t="s">
        <v>46</v>
      </c>
      <c r="C17" s="6">
        <v>100000000</v>
      </c>
      <c r="D17" s="5" t="s">
        <v>9</v>
      </c>
      <c r="E17" s="5" t="s">
        <v>47</v>
      </c>
    </row>
    <row r="18" spans="1:6" x14ac:dyDescent="0.35">
      <c r="A18" s="4" t="s">
        <v>48</v>
      </c>
      <c r="B18" s="5" t="s">
        <v>49</v>
      </c>
      <c r="C18" s="6">
        <v>27288</v>
      </c>
      <c r="D18" s="5" t="s">
        <v>50</v>
      </c>
      <c r="E18" s="5" t="s">
        <v>51</v>
      </c>
    </row>
    <row r="19" spans="1:6" x14ac:dyDescent="0.35">
      <c r="A19" s="4" t="s">
        <v>52</v>
      </c>
      <c r="B19" s="5" t="s">
        <v>53</v>
      </c>
      <c r="C19" s="6">
        <v>128</v>
      </c>
      <c r="D19" s="5" t="s">
        <v>40</v>
      </c>
      <c r="E19" s="5" t="s">
        <v>54</v>
      </c>
    </row>
    <row r="22" spans="1:6" x14ac:dyDescent="0.35">
      <c r="A22" s="1" t="s">
        <v>55</v>
      </c>
    </row>
    <row r="23" spans="1:6" ht="48" customHeight="1" x14ac:dyDescent="0.35">
      <c r="A23" s="3" t="s">
        <v>56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61</v>
      </c>
    </row>
    <row r="24" spans="1:6" x14ac:dyDescent="0.35">
      <c r="A24" s="8">
        <v>8</v>
      </c>
      <c r="B24" s="9">
        <v>1.4999999999999999E-2</v>
      </c>
      <c r="C24" s="10">
        <f t="shared" ref="C24:C29" si="0">LOG(A24,2)</f>
        <v>3</v>
      </c>
      <c r="D24" s="11">
        <f t="shared" ref="D24:D29" si="1">A24*C24*(C24+1)/4</f>
        <v>24</v>
      </c>
      <c r="E24" s="12">
        <v>0.36</v>
      </c>
      <c r="F24" s="5" t="s">
        <v>62</v>
      </c>
    </row>
    <row r="25" spans="1:6" x14ac:dyDescent="0.35">
      <c r="A25" s="8">
        <v>16</v>
      </c>
      <c r="B25" s="9">
        <v>0.03</v>
      </c>
      <c r="C25" s="10">
        <f t="shared" si="0"/>
        <v>4</v>
      </c>
      <c r="D25" s="11">
        <f t="shared" si="1"/>
        <v>80</v>
      </c>
      <c r="E25" s="12">
        <v>0.44</v>
      </c>
      <c r="F25" s="5" t="s">
        <v>62</v>
      </c>
    </row>
    <row r="26" spans="1:6" x14ac:dyDescent="0.35">
      <c r="A26" s="8">
        <v>32</v>
      </c>
      <c r="B26" s="9">
        <v>0.08</v>
      </c>
      <c r="C26" s="10">
        <f t="shared" si="0"/>
        <v>5</v>
      </c>
      <c r="D26" s="11">
        <f t="shared" si="1"/>
        <v>240</v>
      </c>
      <c r="E26" s="12">
        <v>0.64</v>
      </c>
      <c r="F26" s="5" t="s">
        <v>62</v>
      </c>
    </row>
    <row r="27" spans="1:6" x14ac:dyDescent="0.35">
      <c r="A27" s="8">
        <v>64</v>
      </c>
      <c r="B27" s="9">
        <v>0.21</v>
      </c>
      <c r="C27" s="10">
        <f t="shared" si="0"/>
        <v>6</v>
      </c>
      <c r="D27" s="11">
        <f t="shared" si="1"/>
        <v>672</v>
      </c>
      <c r="E27" s="12">
        <v>0.88</v>
      </c>
      <c r="F27" s="5" t="s">
        <v>63</v>
      </c>
    </row>
    <row r="28" spans="1:6" x14ac:dyDescent="0.35">
      <c r="A28" s="8">
        <v>128</v>
      </c>
      <c r="B28" s="9">
        <v>0.55000000000000004</v>
      </c>
      <c r="C28" s="10">
        <f t="shared" si="0"/>
        <v>7</v>
      </c>
      <c r="D28" s="11">
        <f t="shared" si="1"/>
        <v>1792</v>
      </c>
      <c r="E28" s="12">
        <v>1.1599999999999999</v>
      </c>
      <c r="F28" s="5" t="s">
        <v>64</v>
      </c>
    </row>
    <row r="29" spans="1:6" x14ac:dyDescent="0.35">
      <c r="A29" s="8">
        <v>256</v>
      </c>
      <c r="B29" s="9">
        <v>1.35</v>
      </c>
      <c r="C29" s="10">
        <f t="shared" si="0"/>
        <v>8</v>
      </c>
      <c r="D29" s="11">
        <f t="shared" si="1"/>
        <v>4608</v>
      </c>
      <c r="E29" s="12">
        <v>1.48</v>
      </c>
      <c r="F29" s="5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showGridLines="0" zoomScaleNormal="100" workbookViewId="0"/>
  </sheetViews>
  <sheetFormatPr baseColWidth="10" defaultColWidth="8.6328125" defaultRowHeight="14.5" x14ac:dyDescent="0.35"/>
  <cols>
    <col min="1" max="1" width="6" customWidth="1"/>
    <col min="2" max="2" width="18" customWidth="1"/>
    <col min="3" max="3" width="12" customWidth="1"/>
    <col min="4" max="4" width="8" customWidth="1"/>
    <col min="5" max="5" width="20" customWidth="1"/>
    <col min="6" max="6" width="18" customWidth="1"/>
    <col min="7" max="7" width="10" customWidth="1"/>
    <col min="8" max="8" width="18" customWidth="1"/>
    <col min="9" max="9" width="10" customWidth="1"/>
    <col min="10" max="10" width="20" customWidth="1"/>
    <col min="11" max="11" width="14" customWidth="1"/>
    <col min="12" max="12" width="12" customWidth="1"/>
  </cols>
  <sheetData>
    <row r="1" spans="1:14" x14ac:dyDescent="0.35">
      <c r="A1" s="1" t="s">
        <v>65</v>
      </c>
    </row>
    <row r="3" spans="1:14" ht="48" customHeight="1" x14ac:dyDescent="0.35">
      <c r="A3" s="3" t="s">
        <v>66</v>
      </c>
      <c r="B3" s="3" t="s">
        <v>67</v>
      </c>
      <c r="C3" s="3" t="s">
        <v>68</v>
      </c>
      <c r="D3" s="3" t="s">
        <v>33</v>
      </c>
      <c r="E3" s="3" t="s">
        <v>69</v>
      </c>
      <c r="F3" s="3" t="s">
        <v>70</v>
      </c>
      <c r="G3" s="3" t="s">
        <v>71</v>
      </c>
      <c r="H3" s="3" t="s">
        <v>72</v>
      </c>
      <c r="I3" s="3" t="s">
        <v>73</v>
      </c>
      <c r="J3" s="3" t="s">
        <v>74</v>
      </c>
      <c r="K3" s="3" t="s">
        <v>75</v>
      </c>
      <c r="L3" s="3" t="s">
        <v>76</v>
      </c>
      <c r="M3" s="1" t="s">
        <v>77</v>
      </c>
      <c r="N3" s="1" t="s">
        <v>78</v>
      </c>
    </row>
    <row r="4" spans="1:14" x14ac:dyDescent="0.35">
      <c r="A4" s="8">
        <v>4</v>
      </c>
      <c r="B4" s="11">
        <f>Inputs!$C$8*A4*(A4-1)+2*Inputs!$C$9*A4+Inputs!$C$10</f>
        <v>282</v>
      </c>
      <c r="C4" s="11">
        <f>Inputs!$C$11+Inputs!$C$12*A4</f>
        <v>276</v>
      </c>
      <c r="D4" s="11">
        <f>Inputs!$C$13</f>
        <v>800</v>
      </c>
      <c r="E4" s="13">
        <f>B4/(Inputs!$C$4*Inputs!$C$5)+C4/(Inputs!$C$4*Inputs!$C$6)+D4/(Inputs!$C$4*Inputs!$C$7)</f>
        <v>1.8682352941176469E-2</v>
      </c>
      <c r="F4" s="13">
        <f>E4+2*A4*Inputs!$C$14/Inputs!$C$5</f>
        <v>0.30668235294117646</v>
      </c>
      <c r="G4" s="14">
        <f>Inputs!$C$15</f>
        <v>1</v>
      </c>
      <c r="H4" s="15">
        <f>2*A4*Inputs!$C$14*1000000+B4/Inputs!$C$4*1000000</f>
        <v>30.458823529411763</v>
      </c>
      <c r="I4" s="5">
        <f>IF(H4&lt;=Inputs!$C$5*1000000,1,0)</f>
        <v>1</v>
      </c>
      <c r="J4" s="16">
        <f>(2*A4*Inputs!$C$16*1000000+INDEX(Inputs!$E$24:$E$29,MATCH(MAX(8,2^CEILING(LOG(A4,2),1)),Inputs!$A$24:$A$29,0)))/(Inputs!$C$5*1000000)</f>
        <v>6.7999999999999996E-3</v>
      </c>
      <c r="K4" s="5">
        <f>$E$54</f>
        <v>12</v>
      </c>
      <c r="L4" s="5">
        <v>0</v>
      </c>
      <c r="M4" s="5">
        <f>$E$56</f>
        <v>37</v>
      </c>
      <c r="N4" s="5">
        <v>0</v>
      </c>
    </row>
    <row r="5" spans="1:14" x14ac:dyDescent="0.35">
      <c r="A5" s="8">
        <v>5</v>
      </c>
      <c r="B5" s="11">
        <f>Inputs!$C$8*A5*(A5-1)+2*Inputs!$C$9*A5+Inputs!$C$10</f>
        <v>400</v>
      </c>
      <c r="C5" s="11">
        <f>Inputs!$C$11+Inputs!$C$12*A5</f>
        <v>295</v>
      </c>
      <c r="D5" s="11">
        <f>Inputs!$C$13</f>
        <v>800</v>
      </c>
      <c r="E5" s="13">
        <f>B5/(Inputs!$C$4*Inputs!$C$5)+C5/(Inputs!$C$4*Inputs!$C$6)+D5/(Inputs!$C$4*Inputs!$C$7)</f>
        <v>2.5735294117647058E-2</v>
      </c>
      <c r="F5" s="13">
        <f>E5+2*A5*Inputs!$C$14/Inputs!$C$5</f>
        <v>0.38573529411764707</v>
      </c>
      <c r="G5" s="14">
        <f>Inputs!$C$15</f>
        <v>1</v>
      </c>
      <c r="H5" s="15">
        <f>2*A5*Inputs!$C$14*1000000+B5/Inputs!$C$4*1000000</f>
        <v>38.352941176470587</v>
      </c>
      <c r="I5" s="5">
        <f>IF(H5&lt;=Inputs!$C$5*1000000,1,0)</f>
        <v>1</v>
      </c>
      <c r="J5" s="16">
        <f>(2*A5*Inputs!$C$16*1000000+INDEX(Inputs!$E$24:$E$29,MATCH(MAX(8,2^CEILING(LOG(A5,2),1)),Inputs!$A$24:$A$29,0)))/(Inputs!$C$5*1000000)</f>
        <v>7.6E-3</v>
      </c>
      <c r="K5" s="5">
        <f>$E$54</f>
        <v>12</v>
      </c>
      <c r="L5" s="5">
        <v>1.6</v>
      </c>
      <c r="M5" s="5">
        <f>$E$56</f>
        <v>37</v>
      </c>
      <c r="N5" s="5">
        <v>1.6</v>
      </c>
    </row>
    <row r="6" spans="1:14" x14ac:dyDescent="0.35">
      <c r="A6" s="8">
        <v>6</v>
      </c>
      <c r="B6" s="11">
        <f>Inputs!$C$8*A6*(A6-1)+2*Inputs!$C$9*A6+Inputs!$C$10</f>
        <v>542</v>
      </c>
      <c r="C6" s="11">
        <f>Inputs!$C$11+Inputs!$C$12*A6</f>
        <v>314</v>
      </c>
      <c r="D6" s="11">
        <f>Inputs!$C$13</f>
        <v>800</v>
      </c>
      <c r="E6" s="13">
        <f>B6/(Inputs!$C$4*Inputs!$C$5)+C6/(Inputs!$C$4*Inputs!$C$6)+D6/(Inputs!$C$4*Inputs!$C$7)</f>
        <v>3.4200000000000001E-2</v>
      </c>
      <c r="F6" s="13">
        <f>E6+2*A6*Inputs!$C$14/Inputs!$C$5</f>
        <v>0.4662</v>
      </c>
      <c r="G6" s="14">
        <f>Inputs!$C$15</f>
        <v>1</v>
      </c>
      <c r="H6" s="15">
        <f>2*A6*Inputs!$C$14*1000000+B6/Inputs!$C$4*1000000</f>
        <v>46.388235294117649</v>
      </c>
      <c r="I6" s="5">
        <f>IF(H6&lt;=Inputs!$C$5*1000000,1,0)</f>
        <v>1</v>
      </c>
      <c r="J6" s="16">
        <f>(2*A6*Inputs!$C$16*1000000+INDEX(Inputs!$E$24:$E$29,MATCH(MAX(8,2^CEILING(LOG(A6,2),1)),Inputs!$A$24:$A$29,0)))/(Inputs!$C$5*1000000)</f>
        <v>8.4000000000000012E-3</v>
      </c>
    </row>
    <row r="7" spans="1:14" x14ac:dyDescent="0.35">
      <c r="A7" s="8">
        <v>7</v>
      </c>
      <c r="B7" s="11">
        <f>Inputs!$C$8*A7*(A7-1)+2*Inputs!$C$9*A7+Inputs!$C$10</f>
        <v>708</v>
      </c>
      <c r="C7" s="11">
        <f>Inputs!$C$11+Inputs!$C$12*A7</f>
        <v>333</v>
      </c>
      <c r="D7" s="11">
        <f>Inputs!$C$13</f>
        <v>800</v>
      </c>
      <c r="E7" s="13">
        <f>B7/(Inputs!$C$4*Inputs!$C$5)+C7/(Inputs!$C$4*Inputs!$C$6)+D7/(Inputs!$C$4*Inputs!$C$7)</f>
        <v>4.4076470588235293E-2</v>
      </c>
      <c r="F7" s="13">
        <f>E7+2*A7*Inputs!$C$14/Inputs!$C$5</f>
        <v>0.54807647058823528</v>
      </c>
      <c r="G7" s="14">
        <f>Inputs!$C$15</f>
        <v>1</v>
      </c>
      <c r="H7" s="15">
        <f>2*A7*Inputs!$C$14*1000000+B7/Inputs!$C$4*1000000</f>
        <v>54.564705882352939</v>
      </c>
      <c r="I7" s="5">
        <f>IF(H7&lt;=Inputs!$C$5*1000000,1,0)</f>
        <v>1</v>
      </c>
      <c r="J7" s="16">
        <f>(2*A7*Inputs!$C$16*1000000+INDEX(Inputs!$E$24:$E$29,MATCH(MAX(8,2^CEILING(LOG(A7,2),1)),Inputs!$A$24:$A$29,0)))/(Inputs!$C$5*1000000)</f>
        <v>9.1999999999999998E-3</v>
      </c>
    </row>
    <row r="8" spans="1:14" x14ac:dyDescent="0.35">
      <c r="A8" s="8">
        <v>8</v>
      </c>
      <c r="B8" s="11">
        <f>Inputs!$C$8*A8*(A8-1)+2*Inputs!$C$9*A8+Inputs!$C$10</f>
        <v>898</v>
      </c>
      <c r="C8" s="11">
        <f>Inputs!$C$11+Inputs!$C$12*A8</f>
        <v>352</v>
      </c>
      <c r="D8" s="11">
        <f>Inputs!$C$13</f>
        <v>800</v>
      </c>
      <c r="E8" s="13">
        <f>B8/(Inputs!$C$4*Inputs!$C$5)+C8/(Inputs!$C$4*Inputs!$C$6)+D8/(Inputs!$C$4*Inputs!$C$7)</f>
        <v>5.5364705882352941E-2</v>
      </c>
      <c r="F8" s="13">
        <f>E8+2*A8*Inputs!$C$14/Inputs!$C$5</f>
        <v>0.63136470588235294</v>
      </c>
      <c r="G8" s="14">
        <f>Inputs!$C$15</f>
        <v>1</v>
      </c>
      <c r="H8" s="15">
        <f>2*A8*Inputs!$C$14*1000000+B8/Inputs!$C$4*1000000</f>
        <v>62.882352941176464</v>
      </c>
      <c r="I8" s="5">
        <f>IF(H8&lt;=Inputs!$C$5*1000000,1,0)</f>
        <v>1</v>
      </c>
      <c r="J8" s="16">
        <f>(2*A8*Inputs!$C$16*1000000+INDEX(Inputs!$E$24:$E$29,MATCH(MAX(8,2^CEILING(LOG(A8,2),1)),Inputs!$A$24:$A$29,0)))/(Inputs!$C$5*1000000)</f>
        <v>0.01</v>
      </c>
    </row>
    <row r="9" spans="1:14" x14ac:dyDescent="0.35">
      <c r="A9" s="8">
        <v>9</v>
      </c>
      <c r="B9" s="11">
        <f>Inputs!$C$8*A9*(A9-1)+2*Inputs!$C$9*A9+Inputs!$C$10</f>
        <v>1112</v>
      </c>
      <c r="C9" s="11">
        <f>Inputs!$C$11+Inputs!$C$12*A9</f>
        <v>371</v>
      </c>
      <c r="D9" s="11">
        <f>Inputs!$C$13</f>
        <v>800</v>
      </c>
      <c r="E9" s="13">
        <f>B9/(Inputs!$C$4*Inputs!$C$5)+C9/(Inputs!$C$4*Inputs!$C$6)+D9/(Inputs!$C$4*Inputs!$C$7)</f>
        <v>6.806470588235293E-2</v>
      </c>
      <c r="F9" s="13">
        <f>E9+2*A9*Inputs!$C$14/Inputs!$C$5</f>
        <v>0.71606470588235294</v>
      </c>
      <c r="G9" s="14">
        <f>Inputs!$C$15</f>
        <v>1</v>
      </c>
      <c r="H9" s="15">
        <f>2*A9*Inputs!$C$14*1000000+B9/Inputs!$C$4*1000000</f>
        <v>71.341176470588238</v>
      </c>
      <c r="I9" s="5">
        <f>IF(H9&lt;=Inputs!$C$5*1000000,1,0)</f>
        <v>1</v>
      </c>
      <c r="J9" s="16">
        <f>(2*A9*Inputs!$C$16*1000000+INDEX(Inputs!$E$24:$E$29,MATCH(MAX(8,2^CEILING(LOG(A9,2),1)),Inputs!$A$24:$A$29,0)))/(Inputs!$C$5*1000000)</f>
        <v>1.1599999999999999E-2</v>
      </c>
    </row>
    <row r="10" spans="1:14" x14ac:dyDescent="0.35">
      <c r="A10" s="8">
        <v>10</v>
      </c>
      <c r="B10" s="11">
        <f>Inputs!$C$8*A10*(A10-1)+2*Inputs!$C$9*A10+Inputs!$C$10</f>
        <v>1350</v>
      </c>
      <c r="C10" s="11">
        <f>Inputs!$C$11+Inputs!$C$12*A10</f>
        <v>390</v>
      </c>
      <c r="D10" s="11">
        <f>Inputs!$C$13</f>
        <v>800</v>
      </c>
      <c r="E10" s="13">
        <f>B10/(Inputs!$C$4*Inputs!$C$5)+C10/(Inputs!$C$4*Inputs!$C$6)+D10/(Inputs!$C$4*Inputs!$C$7)</f>
        <v>8.2176470588235281E-2</v>
      </c>
      <c r="F10" s="13">
        <f>E10+2*A10*Inputs!$C$14/Inputs!$C$5</f>
        <v>0.80217647058823527</v>
      </c>
      <c r="G10" s="14">
        <f>Inputs!$C$15</f>
        <v>1</v>
      </c>
      <c r="H10" s="15">
        <f>2*A10*Inputs!$C$14*1000000+B10/Inputs!$C$4*1000000</f>
        <v>79.941176470588232</v>
      </c>
      <c r="I10" s="5">
        <f>IF(H10&lt;=Inputs!$C$5*1000000,1,0)</f>
        <v>1</v>
      </c>
      <c r="J10" s="16">
        <f>(2*A10*Inputs!$C$16*1000000+INDEX(Inputs!$E$24:$E$29,MATCH(MAX(8,2^CEILING(LOG(A10,2),1)),Inputs!$A$24:$A$29,0)))/(Inputs!$C$5*1000000)</f>
        <v>1.24E-2</v>
      </c>
    </row>
    <row r="11" spans="1:14" x14ac:dyDescent="0.35">
      <c r="A11" s="8">
        <v>11</v>
      </c>
      <c r="B11" s="11">
        <f>Inputs!$C$8*A11*(A11-1)+2*Inputs!$C$9*A11+Inputs!$C$10</f>
        <v>1612</v>
      </c>
      <c r="C11" s="11">
        <f>Inputs!$C$11+Inputs!$C$12*A11</f>
        <v>409</v>
      </c>
      <c r="D11" s="11">
        <f>Inputs!$C$13</f>
        <v>800</v>
      </c>
      <c r="E11" s="13">
        <f>B11/(Inputs!$C$4*Inputs!$C$5)+C11/(Inputs!$C$4*Inputs!$C$6)+D11/(Inputs!$C$4*Inputs!$C$7)</f>
        <v>9.7699999999999995E-2</v>
      </c>
      <c r="F11" s="13">
        <f>E11+2*A11*Inputs!$C$14/Inputs!$C$5</f>
        <v>0.88969999999999994</v>
      </c>
      <c r="G11" s="14">
        <f>Inputs!$C$15</f>
        <v>1</v>
      </c>
      <c r="H11" s="15">
        <f>2*A11*Inputs!$C$14*1000000+B11/Inputs!$C$4*1000000</f>
        <v>88.682352941176475</v>
      </c>
      <c r="I11" s="5">
        <f>IF(H11&lt;=Inputs!$C$5*1000000,1,0)</f>
        <v>1</v>
      </c>
      <c r="J11" s="16">
        <f>(2*A11*Inputs!$C$16*1000000+INDEX(Inputs!$E$24:$E$29,MATCH(MAX(8,2^CEILING(LOG(A11,2),1)),Inputs!$A$24:$A$29,0)))/(Inputs!$C$5*1000000)</f>
        <v>1.32E-2</v>
      </c>
    </row>
    <row r="12" spans="1:14" x14ac:dyDescent="0.35">
      <c r="A12" s="8">
        <v>12</v>
      </c>
      <c r="B12" s="11">
        <f>Inputs!$C$8*A12*(A12-1)+2*Inputs!$C$9*A12+Inputs!$C$10</f>
        <v>1898</v>
      </c>
      <c r="C12" s="11">
        <f>Inputs!$C$11+Inputs!$C$12*A12</f>
        <v>428</v>
      </c>
      <c r="D12" s="11">
        <f>Inputs!$C$13</f>
        <v>800</v>
      </c>
      <c r="E12" s="13">
        <f>B12/(Inputs!$C$4*Inputs!$C$5)+C12/(Inputs!$C$4*Inputs!$C$6)+D12/(Inputs!$C$4*Inputs!$C$7)</f>
        <v>0.11463529411764706</v>
      </c>
      <c r="F12" s="13">
        <f>E12+2*A12*Inputs!$C$14/Inputs!$C$5</f>
        <v>0.97863529411764705</v>
      </c>
      <c r="G12" s="14">
        <f>Inputs!$C$15</f>
        <v>1</v>
      </c>
      <c r="H12" s="15">
        <f>2*A12*Inputs!$C$14*1000000+B12/Inputs!$C$4*1000000</f>
        <v>97.564705882352939</v>
      </c>
      <c r="I12" s="5">
        <f>IF(H12&lt;=Inputs!$C$5*1000000,1,0)</f>
        <v>1</v>
      </c>
      <c r="J12" s="16">
        <f>(2*A12*Inputs!$C$16*1000000+INDEX(Inputs!$E$24:$E$29,MATCH(MAX(8,2^CEILING(LOG(A12,2),1)),Inputs!$A$24:$A$29,0)))/(Inputs!$C$5*1000000)</f>
        <v>1.4000000000000002E-2</v>
      </c>
    </row>
    <row r="13" spans="1:14" x14ac:dyDescent="0.35">
      <c r="A13" s="8">
        <v>13</v>
      </c>
      <c r="B13" s="11">
        <f>Inputs!$C$8*A13*(A13-1)+2*Inputs!$C$9*A13+Inputs!$C$10</f>
        <v>2208</v>
      </c>
      <c r="C13" s="11">
        <f>Inputs!$C$11+Inputs!$C$12*A13</f>
        <v>447</v>
      </c>
      <c r="D13" s="11">
        <f>Inputs!$C$13</f>
        <v>800</v>
      </c>
      <c r="E13" s="13">
        <f>B13/(Inputs!$C$4*Inputs!$C$5)+C13/(Inputs!$C$4*Inputs!$C$6)+D13/(Inputs!$C$4*Inputs!$C$7)</f>
        <v>0.13298235294117647</v>
      </c>
      <c r="F13" s="13">
        <f>E13+2*A13*Inputs!$C$14/Inputs!$C$5</f>
        <v>1.0689823529411764</v>
      </c>
      <c r="G13" s="14">
        <f>Inputs!$C$15</f>
        <v>1</v>
      </c>
      <c r="H13" s="15">
        <f>2*A13*Inputs!$C$14*1000000+B13/Inputs!$C$4*1000000</f>
        <v>106.58823529411764</v>
      </c>
      <c r="I13" s="5">
        <f>IF(H13&lt;=Inputs!$C$5*1000000,1,0)</f>
        <v>0</v>
      </c>
      <c r="J13" s="16">
        <f>(2*A13*Inputs!$C$16*1000000+INDEX(Inputs!$E$24:$E$29,MATCH(MAX(8,2^CEILING(LOG(A13,2),1)),Inputs!$A$24:$A$29,0)))/(Inputs!$C$5*1000000)</f>
        <v>1.4800000000000001E-2</v>
      </c>
    </row>
    <row r="14" spans="1:14" x14ac:dyDescent="0.35">
      <c r="A14" s="8">
        <v>14</v>
      </c>
      <c r="B14" s="11">
        <f>Inputs!$C$8*A14*(A14-1)+2*Inputs!$C$9*A14+Inputs!$C$10</f>
        <v>2542</v>
      </c>
      <c r="C14" s="11">
        <f>Inputs!$C$11+Inputs!$C$12*A14</f>
        <v>466</v>
      </c>
      <c r="D14" s="11">
        <f>Inputs!$C$13</f>
        <v>800</v>
      </c>
      <c r="E14" s="13">
        <f>B14/(Inputs!$C$4*Inputs!$C$5)+C14/(Inputs!$C$4*Inputs!$C$6)+D14/(Inputs!$C$4*Inputs!$C$7)</f>
        <v>0.15274117647058824</v>
      </c>
      <c r="F14" s="13">
        <f>E14+2*A14*Inputs!$C$14/Inputs!$C$5</f>
        <v>1.1607411764705882</v>
      </c>
      <c r="G14" s="14">
        <f>Inputs!$C$15</f>
        <v>1</v>
      </c>
      <c r="H14" s="15">
        <f>2*A14*Inputs!$C$14*1000000+B14/Inputs!$C$4*1000000</f>
        <v>115.75294117647059</v>
      </c>
      <c r="I14" s="5">
        <f>IF(H14&lt;=Inputs!$C$5*1000000,1,0)</f>
        <v>0</v>
      </c>
      <c r="J14" s="16">
        <f>(2*A14*Inputs!$C$16*1000000+INDEX(Inputs!$E$24:$E$29,MATCH(MAX(8,2^CEILING(LOG(A14,2),1)),Inputs!$A$24:$A$29,0)))/(Inputs!$C$5*1000000)</f>
        <v>1.5600000000000001E-2</v>
      </c>
    </row>
    <row r="15" spans="1:14" x14ac:dyDescent="0.35">
      <c r="A15" s="8">
        <v>15</v>
      </c>
      <c r="B15" s="11">
        <f>Inputs!$C$8*A15*(A15-1)+2*Inputs!$C$9*A15+Inputs!$C$10</f>
        <v>2900</v>
      </c>
      <c r="C15" s="11">
        <f>Inputs!$C$11+Inputs!$C$12*A15</f>
        <v>485</v>
      </c>
      <c r="D15" s="11">
        <f>Inputs!$C$13</f>
        <v>800</v>
      </c>
      <c r="E15" s="13">
        <f>B15/(Inputs!$C$4*Inputs!$C$5)+C15/(Inputs!$C$4*Inputs!$C$6)+D15/(Inputs!$C$4*Inputs!$C$7)</f>
        <v>0.17391176470588235</v>
      </c>
      <c r="F15" s="13">
        <f>E15+2*A15*Inputs!$C$14/Inputs!$C$5</f>
        <v>1.2539117647058822</v>
      </c>
      <c r="G15" s="14">
        <f>Inputs!$C$15</f>
        <v>1</v>
      </c>
      <c r="H15" s="15">
        <f>2*A15*Inputs!$C$14*1000000+B15/Inputs!$C$4*1000000</f>
        <v>125.05882352941177</v>
      </c>
      <c r="I15" s="5">
        <f>IF(H15&lt;=Inputs!$C$5*1000000,1,0)</f>
        <v>0</v>
      </c>
      <c r="J15" s="16">
        <f>(2*A15*Inputs!$C$16*1000000+INDEX(Inputs!$E$24:$E$29,MATCH(MAX(8,2^CEILING(LOG(A15,2),1)),Inputs!$A$24:$A$29,0)))/(Inputs!$C$5*1000000)</f>
        <v>1.6399999999999998E-2</v>
      </c>
    </row>
    <row r="16" spans="1:14" x14ac:dyDescent="0.35">
      <c r="A16" s="8">
        <v>16</v>
      </c>
      <c r="B16" s="11">
        <f>Inputs!$C$8*A16*(A16-1)+2*Inputs!$C$9*A16+Inputs!$C$10</f>
        <v>3282</v>
      </c>
      <c r="C16" s="11">
        <f>Inputs!$C$11+Inputs!$C$12*A16</f>
        <v>504</v>
      </c>
      <c r="D16" s="11">
        <f>Inputs!$C$13</f>
        <v>800</v>
      </c>
      <c r="E16" s="13">
        <f>B16/(Inputs!$C$4*Inputs!$C$5)+C16/(Inputs!$C$4*Inputs!$C$6)+D16/(Inputs!$C$4*Inputs!$C$7)</f>
        <v>0.19649411764705882</v>
      </c>
      <c r="F16" s="13">
        <f>E16+2*A16*Inputs!$C$14/Inputs!$C$5</f>
        <v>1.3484941176470588</v>
      </c>
      <c r="G16" s="14">
        <f>Inputs!$C$15</f>
        <v>1</v>
      </c>
      <c r="H16" s="15">
        <f>2*A16*Inputs!$C$14*1000000+B16/Inputs!$C$4*1000000</f>
        <v>134.50588235294117</v>
      </c>
      <c r="I16" s="5">
        <f>IF(H16&lt;=Inputs!$C$5*1000000,1,0)</f>
        <v>0</v>
      </c>
      <c r="J16" s="16">
        <f>(2*A16*Inputs!$C$16*1000000+INDEX(Inputs!$E$24:$E$29,MATCH(MAX(8,2^CEILING(LOG(A16,2),1)),Inputs!$A$24:$A$29,0)))/(Inputs!$C$5*1000000)</f>
        <v>1.72E-2</v>
      </c>
    </row>
    <row r="17" spans="1:10" x14ac:dyDescent="0.35">
      <c r="A17" s="8">
        <v>17</v>
      </c>
      <c r="B17" s="11">
        <f>Inputs!$C$8*A17*(A17-1)+2*Inputs!$C$9*A17+Inputs!$C$10</f>
        <v>3688</v>
      </c>
      <c r="C17" s="11">
        <f>Inputs!$C$11+Inputs!$C$12*A17</f>
        <v>523</v>
      </c>
      <c r="D17" s="11">
        <f>Inputs!$C$13</f>
        <v>800</v>
      </c>
      <c r="E17" s="13">
        <f>B17/(Inputs!$C$4*Inputs!$C$5)+C17/(Inputs!$C$4*Inputs!$C$6)+D17/(Inputs!$C$4*Inputs!$C$7)</f>
        <v>0.22048823529411765</v>
      </c>
      <c r="F17" s="13">
        <f>E17+2*A17*Inputs!$C$14/Inputs!$C$5</f>
        <v>1.4444882352941177</v>
      </c>
      <c r="G17" s="14">
        <f>Inputs!$C$15</f>
        <v>1</v>
      </c>
      <c r="H17" s="15">
        <f>2*A17*Inputs!$C$14*1000000+B17/Inputs!$C$4*1000000</f>
        <v>144.09411764705882</v>
      </c>
      <c r="I17" s="5">
        <f>IF(H17&lt;=Inputs!$C$5*1000000,1,0)</f>
        <v>0</v>
      </c>
      <c r="J17" s="16">
        <f>(2*A17*Inputs!$C$16*1000000+INDEX(Inputs!$E$24:$E$29,MATCH(MAX(8,2^CEILING(LOG(A17,2),1)),Inputs!$A$24:$A$29,0)))/(Inputs!$C$5*1000000)</f>
        <v>0.02</v>
      </c>
    </row>
    <row r="18" spans="1:10" x14ac:dyDescent="0.35">
      <c r="A18" s="8">
        <v>19</v>
      </c>
      <c r="B18" s="11">
        <f>Inputs!$C$8*A18*(A18-1)+2*Inputs!$C$9*A18+Inputs!$C$10</f>
        <v>4572</v>
      </c>
      <c r="C18" s="11">
        <f>Inputs!$C$11+Inputs!$C$12*A18</f>
        <v>561</v>
      </c>
      <c r="D18" s="11">
        <f>Inputs!$C$13</f>
        <v>800</v>
      </c>
      <c r="E18" s="13">
        <f>B18/(Inputs!$C$4*Inputs!$C$5)+C18/(Inputs!$C$4*Inputs!$C$6)+D18/(Inputs!$C$4*Inputs!$C$7)</f>
        <v>0.27271176470588238</v>
      </c>
      <c r="F18" s="13">
        <f>E18+2*A18*Inputs!$C$14/Inputs!$C$5</f>
        <v>1.6407117647058822</v>
      </c>
      <c r="G18" s="14">
        <f>Inputs!$C$15</f>
        <v>1</v>
      </c>
      <c r="H18" s="15">
        <f>2*A18*Inputs!$C$14*1000000+B18/Inputs!$C$4*1000000</f>
        <v>163.69411764705882</v>
      </c>
      <c r="I18" s="5">
        <f>IF(H18&lt;=Inputs!$C$5*1000000,1,0)</f>
        <v>0</v>
      </c>
      <c r="J18" s="16">
        <f>(2*A18*Inputs!$C$16*1000000+INDEX(Inputs!$E$24:$E$29,MATCH(MAX(8,2^CEILING(LOG(A18,2),1)),Inputs!$A$24:$A$29,0)))/(Inputs!$C$5*1000000)</f>
        <v>2.1600000000000001E-2</v>
      </c>
    </row>
    <row r="19" spans="1:10" x14ac:dyDescent="0.35">
      <c r="A19" s="8">
        <v>20</v>
      </c>
      <c r="B19" s="11">
        <f>Inputs!$C$8*A19*(A19-1)+2*Inputs!$C$9*A19+Inputs!$C$10</f>
        <v>5050</v>
      </c>
      <c r="C19" s="11">
        <f>Inputs!$C$11+Inputs!$C$12*A19</f>
        <v>580</v>
      </c>
      <c r="D19" s="11">
        <f>Inputs!$C$13</f>
        <v>800</v>
      </c>
      <c r="E19" s="13">
        <f>B19/(Inputs!$C$4*Inputs!$C$5)+C19/(Inputs!$C$4*Inputs!$C$6)+D19/(Inputs!$C$4*Inputs!$C$7)</f>
        <v>0.30094117647058821</v>
      </c>
      <c r="F19" s="13">
        <f>E19+2*A19*Inputs!$C$14/Inputs!$C$5</f>
        <v>1.7409411764705882</v>
      </c>
      <c r="G19" s="14">
        <f>Inputs!$C$15</f>
        <v>1</v>
      </c>
      <c r="H19" s="15">
        <f>2*A19*Inputs!$C$14*1000000+B19/Inputs!$C$4*1000000</f>
        <v>173.70588235294119</v>
      </c>
      <c r="I19" s="5">
        <f>IF(H19&lt;=Inputs!$C$5*1000000,1,0)</f>
        <v>0</v>
      </c>
      <c r="J19" s="16">
        <f>(2*A19*Inputs!$C$16*1000000+INDEX(Inputs!$E$24:$E$29,MATCH(MAX(8,2^CEILING(LOG(A19,2),1)),Inputs!$A$24:$A$29,0)))/(Inputs!$C$5*1000000)</f>
        <v>2.2399999999999996E-2</v>
      </c>
    </row>
    <row r="20" spans="1:10" x14ac:dyDescent="0.35">
      <c r="A20" s="8">
        <v>21</v>
      </c>
      <c r="B20" s="11">
        <f>Inputs!$C$8*A20*(A20-1)+2*Inputs!$C$9*A20+Inputs!$C$10</f>
        <v>5552</v>
      </c>
      <c r="C20" s="11">
        <f>Inputs!$C$11+Inputs!$C$12*A20</f>
        <v>599</v>
      </c>
      <c r="D20" s="11">
        <f>Inputs!$C$13</f>
        <v>800</v>
      </c>
      <c r="E20" s="13">
        <f>B20/(Inputs!$C$4*Inputs!$C$5)+C20/(Inputs!$C$4*Inputs!$C$6)+D20/(Inputs!$C$4*Inputs!$C$7)</f>
        <v>0.33058235294117644</v>
      </c>
      <c r="F20" s="13">
        <f>E20+2*A20*Inputs!$C$14/Inputs!$C$5</f>
        <v>1.8425823529411762</v>
      </c>
      <c r="G20" s="14">
        <f>Inputs!$C$15</f>
        <v>1</v>
      </c>
      <c r="H20" s="15">
        <f>2*A20*Inputs!$C$14*1000000+B20/Inputs!$C$4*1000000</f>
        <v>183.85882352941175</v>
      </c>
      <c r="I20" s="5">
        <f>IF(H20&lt;=Inputs!$C$5*1000000,1,0)</f>
        <v>0</v>
      </c>
      <c r="J20" s="16">
        <f>(2*A20*Inputs!$C$16*1000000+INDEX(Inputs!$E$24:$E$29,MATCH(MAX(8,2^CEILING(LOG(A20,2),1)),Inputs!$A$24:$A$29,0)))/(Inputs!$C$5*1000000)</f>
        <v>2.3199999999999998E-2</v>
      </c>
    </row>
    <row r="21" spans="1:10" x14ac:dyDescent="0.35">
      <c r="A21" s="8">
        <v>23</v>
      </c>
      <c r="B21" s="11">
        <f>Inputs!$C$8*A21*(A21-1)+2*Inputs!$C$9*A21+Inputs!$C$10</f>
        <v>6628</v>
      </c>
      <c r="C21" s="11">
        <f>Inputs!$C$11+Inputs!$C$12*A21</f>
        <v>637</v>
      </c>
      <c r="D21" s="11">
        <f>Inputs!$C$13</f>
        <v>800</v>
      </c>
      <c r="E21" s="13">
        <f>B21/(Inputs!$C$4*Inputs!$C$5)+C21/(Inputs!$C$4*Inputs!$C$6)+D21/(Inputs!$C$4*Inputs!$C$7)</f>
        <v>0.39410000000000001</v>
      </c>
      <c r="F21" s="13">
        <f>E21+2*A21*Inputs!$C$14/Inputs!$C$5</f>
        <v>2.0500999999999996</v>
      </c>
      <c r="G21" s="14">
        <f>Inputs!$C$15</f>
        <v>1</v>
      </c>
      <c r="H21" s="15">
        <f>2*A21*Inputs!$C$14*1000000+B21/Inputs!$C$4*1000000</f>
        <v>204.58823529411762</v>
      </c>
      <c r="I21" s="5">
        <f>IF(H21&lt;=Inputs!$C$5*1000000,1,0)</f>
        <v>0</v>
      </c>
      <c r="J21" s="16">
        <f>(2*A21*Inputs!$C$16*1000000+INDEX(Inputs!$E$24:$E$29,MATCH(MAX(8,2^CEILING(LOG(A21,2),1)),Inputs!$A$24:$A$29,0)))/(Inputs!$C$5*1000000)</f>
        <v>2.4799999999999999E-2</v>
      </c>
    </row>
    <row r="22" spans="1:10" x14ac:dyDescent="0.35">
      <c r="A22" s="8">
        <v>24</v>
      </c>
      <c r="B22" s="11">
        <f>Inputs!$C$8*A22*(A22-1)+2*Inputs!$C$9*A22+Inputs!$C$10</f>
        <v>7202</v>
      </c>
      <c r="C22" s="11">
        <f>Inputs!$C$11+Inputs!$C$12*A22</f>
        <v>656</v>
      </c>
      <c r="D22" s="11">
        <f>Inputs!$C$13</f>
        <v>800</v>
      </c>
      <c r="E22" s="13">
        <f>B22/(Inputs!$C$4*Inputs!$C$5)+C22/(Inputs!$C$4*Inputs!$C$6)+D22/(Inputs!$C$4*Inputs!$C$7)</f>
        <v>0.42797647058823529</v>
      </c>
      <c r="F22" s="13">
        <f>E22+2*A22*Inputs!$C$14/Inputs!$C$5</f>
        <v>2.1559764705882354</v>
      </c>
      <c r="G22" s="14">
        <f>Inputs!$C$15</f>
        <v>1</v>
      </c>
      <c r="H22" s="15">
        <f>2*A22*Inputs!$C$14*1000000+B22/Inputs!$C$4*1000000</f>
        <v>215.16470588235296</v>
      </c>
      <c r="I22" s="5">
        <f>IF(H22&lt;=Inputs!$C$5*1000000,1,0)</f>
        <v>0</v>
      </c>
      <c r="J22" s="16">
        <f>(2*A22*Inputs!$C$16*1000000+INDEX(Inputs!$E$24:$E$29,MATCH(MAX(8,2^CEILING(LOG(A22,2),1)),Inputs!$A$24:$A$29,0)))/(Inputs!$C$5*1000000)</f>
        <v>2.5600000000000001E-2</v>
      </c>
    </row>
    <row r="23" spans="1:10" x14ac:dyDescent="0.35">
      <c r="A23" s="8">
        <v>26</v>
      </c>
      <c r="B23" s="11">
        <f>Inputs!$C$8*A23*(A23-1)+2*Inputs!$C$9*A23+Inputs!$C$10</f>
        <v>8422</v>
      </c>
      <c r="C23" s="11">
        <f>Inputs!$C$11+Inputs!$C$12*A23</f>
        <v>694</v>
      </c>
      <c r="D23" s="11">
        <f>Inputs!$C$13</f>
        <v>800</v>
      </c>
      <c r="E23" s="13">
        <f>B23/(Inputs!$C$4*Inputs!$C$5)+C23/(Inputs!$C$4*Inputs!$C$6)+D23/(Inputs!$C$4*Inputs!$C$7)</f>
        <v>0.49996470588235292</v>
      </c>
      <c r="F23" s="13">
        <f>E23+2*A23*Inputs!$C$14/Inputs!$C$5</f>
        <v>2.3719647058823528</v>
      </c>
      <c r="G23" s="14">
        <f>Inputs!$C$15</f>
        <v>1</v>
      </c>
      <c r="H23" s="15">
        <f>2*A23*Inputs!$C$14*1000000+B23/Inputs!$C$4*1000000</f>
        <v>236.74117647058821</v>
      </c>
      <c r="I23" s="5">
        <f>IF(H23&lt;=Inputs!$C$5*1000000,1,0)</f>
        <v>0</v>
      </c>
      <c r="J23" s="16">
        <f>(2*A23*Inputs!$C$16*1000000+INDEX(Inputs!$E$24:$E$29,MATCH(MAX(8,2^CEILING(LOG(A23,2),1)),Inputs!$A$24:$A$29,0)))/(Inputs!$C$5*1000000)</f>
        <v>2.7200000000000002E-2</v>
      </c>
    </row>
    <row r="24" spans="1:10" x14ac:dyDescent="0.35">
      <c r="A24" s="8">
        <v>29</v>
      </c>
      <c r="B24" s="11">
        <f>Inputs!$C$8*A24*(A24-1)+2*Inputs!$C$9*A24+Inputs!$C$10</f>
        <v>10432</v>
      </c>
      <c r="C24" s="11">
        <f>Inputs!$C$11+Inputs!$C$12*A24</f>
        <v>751</v>
      </c>
      <c r="D24" s="11">
        <f>Inputs!$C$13</f>
        <v>800</v>
      </c>
      <c r="E24" s="13">
        <f>B24/(Inputs!$C$4*Inputs!$C$5)+C24/(Inputs!$C$4*Inputs!$C$6)+D24/(Inputs!$C$4*Inputs!$C$7)</f>
        <v>0.61853529411764707</v>
      </c>
      <c r="F24" s="13">
        <f>E24+2*A24*Inputs!$C$14/Inputs!$C$5</f>
        <v>2.7065352941176468</v>
      </c>
      <c r="G24" s="14">
        <f>Inputs!$C$15</f>
        <v>1</v>
      </c>
      <c r="H24" s="15">
        <f>2*A24*Inputs!$C$14*1000000+B24/Inputs!$C$4*1000000</f>
        <v>270.16470588235291</v>
      </c>
      <c r="I24" s="5">
        <f>IF(H24&lt;=Inputs!$C$5*1000000,1,0)</f>
        <v>0</v>
      </c>
      <c r="J24" s="16">
        <f>(2*A24*Inputs!$C$16*1000000+INDEX(Inputs!$E$24:$E$29,MATCH(MAX(8,2^CEILING(LOG(A24,2),1)),Inputs!$A$24:$A$29,0)))/(Inputs!$C$5*1000000)</f>
        <v>2.9600000000000005E-2</v>
      </c>
    </row>
    <row r="25" spans="1:10" x14ac:dyDescent="0.35">
      <c r="A25" s="8">
        <v>32</v>
      </c>
      <c r="B25" s="11">
        <f>Inputs!$C$8*A25*(A25-1)+2*Inputs!$C$9*A25+Inputs!$C$10</f>
        <v>12658</v>
      </c>
      <c r="C25" s="11">
        <f>Inputs!$C$11+Inputs!$C$12*A25</f>
        <v>808</v>
      </c>
      <c r="D25" s="11">
        <f>Inputs!$C$13</f>
        <v>800</v>
      </c>
      <c r="E25" s="13">
        <f>B25/(Inputs!$C$4*Inputs!$C$5)+C25/(Inputs!$C$4*Inputs!$C$6)+D25/(Inputs!$C$4*Inputs!$C$7)</f>
        <v>0.7498117647058824</v>
      </c>
      <c r="F25" s="13">
        <f>E25+2*A25*Inputs!$C$14/Inputs!$C$5</f>
        <v>3.0538117647058822</v>
      </c>
      <c r="G25" s="14">
        <f>Inputs!$C$15</f>
        <v>1</v>
      </c>
      <c r="H25" s="15">
        <f>2*A25*Inputs!$C$14*1000000+B25/Inputs!$C$4*1000000</f>
        <v>304.85882352941172</v>
      </c>
      <c r="I25" s="5">
        <f>IF(H25&lt;=Inputs!$C$5*1000000,1,0)</f>
        <v>0</v>
      </c>
      <c r="J25" s="16">
        <f>(2*A25*Inputs!$C$16*1000000+INDEX(Inputs!$E$24:$E$29,MATCH(MAX(8,2^CEILING(LOG(A25,2),1)),Inputs!$A$24:$A$29,0)))/(Inputs!$C$5*1000000)</f>
        <v>3.2000000000000001E-2</v>
      </c>
    </row>
    <row r="26" spans="1:10" x14ac:dyDescent="0.35">
      <c r="A26" s="8">
        <v>36</v>
      </c>
      <c r="B26" s="11">
        <f>Inputs!$C$8*A26*(A26-1)+2*Inputs!$C$9*A26+Inputs!$C$10</f>
        <v>15962</v>
      </c>
      <c r="C26" s="11">
        <f>Inputs!$C$11+Inputs!$C$12*A26</f>
        <v>884</v>
      </c>
      <c r="D26" s="11">
        <f>Inputs!$C$13</f>
        <v>800</v>
      </c>
      <c r="E26" s="13">
        <f>B26/(Inputs!$C$4*Inputs!$C$5)+C26/(Inputs!$C$4*Inputs!$C$6)+D26/(Inputs!$C$4*Inputs!$C$7)</f>
        <v>0.94461176470588237</v>
      </c>
      <c r="F26" s="13">
        <f>E26+2*A26*Inputs!$C$14/Inputs!$C$5</f>
        <v>3.5366117647058823</v>
      </c>
      <c r="G26" s="14">
        <f>Inputs!$C$15</f>
        <v>1</v>
      </c>
      <c r="H26" s="15">
        <f>2*A26*Inputs!$C$14*1000000+B26/Inputs!$C$4*1000000</f>
        <v>353.09411764705879</v>
      </c>
      <c r="I26" s="5">
        <f>IF(H26&lt;=Inputs!$C$5*1000000,1,0)</f>
        <v>0</v>
      </c>
      <c r="J26" s="16">
        <f>(2*A26*Inputs!$C$16*1000000+INDEX(Inputs!$E$24:$E$29,MATCH(MAX(8,2^CEILING(LOG(A26,2),1)),Inputs!$A$24:$A$29,0)))/(Inputs!$C$5*1000000)</f>
        <v>3.7599999999999995E-2</v>
      </c>
    </row>
    <row r="27" spans="1:10" x14ac:dyDescent="0.35">
      <c r="A27" s="8">
        <v>37</v>
      </c>
      <c r="B27" s="11">
        <f>Inputs!$C$8*A27*(A27-1)+2*Inputs!$C$9*A27+Inputs!$C$10</f>
        <v>16848</v>
      </c>
      <c r="C27" s="11">
        <f>Inputs!$C$11+Inputs!$C$12*A27</f>
        <v>903</v>
      </c>
      <c r="D27" s="11">
        <f>Inputs!$C$13</f>
        <v>800</v>
      </c>
      <c r="E27" s="13">
        <f>B27/(Inputs!$C$4*Inputs!$C$5)+C27/(Inputs!$C$4*Inputs!$C$6)+D27/(Inputs!$C$4*Inputs!$C$7)</f>
        <v>0.99684117647058823</v>
      </c>
      <c r="F27" s="13">
        <f>E27+2*A27*Inputs!$C$14/Inputs!$C$5</f>
        <v>3.6608411764705879</v>
      </c>
      <c r="G27" s="14">
        <f>Inputs!$C$15</f>
        <v>1</v>
      </c>
      <c r="H27" s="15">
        <f>2*A27*Inputs!$C$14*1000000+B27/Inputs!$C$4*1000000</f>
        <v>365.50588235294117</v>
      </c>
      <c r="I27" s="5">
        <f>IF(H27&lt;=Inputs!$C$5*1000000,1,0)</f>
        <v>0</v>
      </c>
      <c r="J27" s="16">
        <f>(2*A27*Inputs!$C$16*1000000+INDEX(Inputs!$E$24:$E$29,MATCH(MAX(8,2^CEILING(LOG(A27,2),1)),Inputs!$A$24:$A$29,0)))/(Inputs!$C$5*1000000)</f>
        <v>3.8399999999999997E-2</v>
      </c>
    </row>
    <row r="28" spans="1:10" x14ac:dyDescent="0.35">
      <c r="A28" s="8">
        <v>39</v>
      </c>
      <c r="B28" s="11">
        <f>Inputs!$C$8*A28*(A28-1)+2*Inputs!$C$9*A28+Inputs!$C$10</f>
        <v>18692</v>
      </c>
      <c r="C28" s="11">
        <f>Inputs!$C$11+Inputs!$C$12*A28</f>
        <v>941</v>
      </c>
      <c r="D28" s="11">
        <f>Inputs!$C$13</f>
        <v>800</v>
      </c>
      <c r="E28" s="13">
        <f>B28/(Inputs!$C$4*Inputs!$C$5)+C28/(Inputs!$C$4*Inputs!$C$6)+D28/(Inputs!$C$4*Inputs!$C$7)</f>
        <v>1.1055352941176471</v>
      </c>
      <c r="F28" s="13">
        <f>E28+2*A28*Inputs!$C$14/Inputs!$C$5</f>
        <v>3.9135352941176471</v>
      </c>
      <c r="G28" s="14">
        <f>Inputs!$C$15</f>
        <v>1</v>
      </c>
      <c r="H28" s="15">
        <f>2*A28*Inputs!$C$14*1000000+B28/Inputs!$C$4*1000000</f>
        <v>390.75294117647059</v>
      </c>
      <c r="I28" s="5">
        <f>IF(H28&lt;=Inputs!$C$5*1000000,1,0)</f>
        <v>0</v>
      </c>
      <c r="J28" s="16">
        <f>(2*A28*Inputs!$C$16*1000000+INDEX(Inputs!$E$24:$E$29,MATCH(MAX(8,2^CEILING(LOG(A28,2),1)),Inputs!$A$24:$A$29,0)))/(Inputs!$C$5*1000000)</f>
        <v>0.04</v>
      </c>
    </row>
    <row r="29" spans="1:10" x14ac:dyDescent="0.35">
      <c r="A29" s="8">
        <v>40</v>
      </c>
      <c r="B29" s="11">
        <f>Inputs!$C$8*A29*(A29-1)+2*Inputs!$C$9*A29+Inputs!$C$10</f>
        <v>19650</v>
      </c>
      <c r="C29" s="11">
        <f>Inputs!$C$11+Inputs!$C$12*A29</f>
        <v>960</v>
      </c>
      <c r="D29" s="11">
        <f>Inputs!$C$13</f>
        <v>800</v>
      </c>
      <c r="E29" s="13">
        <f>B29/(Inputs!$C$4*Inputs!$C$5)+C29/(Inputs!$C$4*Inputs!$C$6)+D29/(Inputs!$C$4*Inputs!$C$7)</f>
        <v>1.1619999999999999</v>
      </c>
      <c r="F29" s="13">
        <f>E29+2*A29*Inputs!$C$14/Inputs!$C$5</f>
        <v>4.0419999999999998</v>
      </c>
      <c r="G29" s="14">
        <f>Inputs!$C$15</f>
        <v>1</v>
      </c>
      <c r="H29" s="15">
        <f>2*A29*Inputs!$C$14*1000000+B29/Inputs!$C$4*1000000</f>
        <v>403.58823529411768</v>
      </c>
      <c r="I29" s="5">
        <f>IF(H29&lt;=Inputs!$C$5*1000000,1,0)</f>
        <v>0</v>
      </c>
      <c r="J29" s="16">
        <f>(2*A29*Inputs!$C$16*1000000+INDEX(Inputs!$E$24:$E$29,MATCH(MAX(8,2^CEILING(LOG(A29,2),1)),Inputs!$A$24:$A$29,0)))/(Inputs!$C$5*1000000)</f>
        <v>4.0800000000000003E-2</v>
      </c>
    </row>
    <row r="30" spans="1:10" x14ac:dyDescent="0.35">
      <c r="A30" s="8">
        <v>44</v>
      </c>
      <c r="B30" s="11">
        <f>Inputs!$C$8*A30*(A30-1)+2*Inputs!$C$9*A30+Inputs!$C$10</f>
        <v>23722</v>
      </c>
      <c r="C30" s="11">
        <f>Inputs!$C$11+Inputs!$C$12*A30</f>
        <v>1036</v>
      </c>
      <c r="D30" s="11">
        <f>Inputs!$C$13</f>
        <v>800</v>
      </c>
      <c r="E30" s="13">
        <f>B30/(Inputs!$C$4*Inputs!$C$5)+C30/(Inputs!$C$4*Inputs!$C$6)+D30/(Inputs!$C$4*Inputs!$C$7)</f>
        <v>1.4019764705882354</v>
      </c>
      <c r="F30" s="13">
        <f>E30+2*A30*Inputs!$C$14/Inputs!$C$5</f>
        <v>4.5699764705882355</v>
      </c>
      <c r="G30" s="14">
        <f>Inputs!$C$15</f>
        <v>1</v>
      </c>
      <c r="H30" s="15">
        <f>2*A30*Inputs!$C$14*1000000+B30/Inputs!$C$4*1000000</f>
        <v>456.34117647058827</v>
      </c>
      <c r="I30" s="5">
        <f>IF(H30&lt;=Inputs!$C$5*1000000,1,0)</f>
        <v>0</v>
      </c>
      <c r="J30" s="16">
        <f>(2*A30*Inputs!$C$16*1000000+INDEX(Inputs!$E$24:$E$29,MATCH(MAX(8,2^CEILING(LOG(A30,2),1)),Inputs!$A$24:$A$29,0)))/(Inputs!$C$5*1000000)</f>
        <v>4.4000000000000004E-2</v>
      </c>
    </row>
    <row r="31" spans="1:10" x14ac:dyDescent="0.35">
      <c r="A31" s="8">
        <v>48</v>
      </c>
      <c r="B31" s="11">
        <f>Inputs!$C$8*A31*(A31-1)+2*Inputs!$C$9*A31+Inputs!$C$10</f>
        <v>28178</v>
      </c>
      <c r="C31" s="11">
        <f>Inputs!$C$11+Inputs!$C$12*A31</f>
        <v>1112</v>
      </c>
      <c r="D31" s="11">
        <f>Inputs!$C$13</f>
        <v>800</v>
      </c>
      <c r="E31" s="13">
        <f>B31/(Inputs!$C$4*Inputs!$C$5)+C31/(Inputs!$C$4*Inputs!$C$6)+D31/(Inputs!$C$4*Inputs!$C$7)</f>
        <v>1.6645411764705884</v>
      </c>
      <c r="F31" s="13">
        <f>E31+2*A31*Inputs!$C$14/Inputs!$C$5</f>
        <v>5.1205411764705886</v>
      </c>
      <c r="G31" s="14">
        <f>Inputs!$C$15</f>
        <v>1</v>
      </c>
      <c r="H31" s="15">
        <f>2*A31*Inputs!$C$14*1000000+B31/Inputs!$C$4*1000000</f>
        <v>511.35294117647061</v>
      </c>
      <c r="I31" s="5">
        <f>IF(H31&lt;=Inputs!$C$5*1000000,1,0)</f>
        <v>0</v>
      </c>
      <c r="J31" s="16">
        <f>(2*A31*Inputs!$C$16*1000000+INDEX(Inputs!$E$24:$E$29,MATCH(MAX(8,2^CEILING(LOG(A31,2),1)),Inputs!$A$24:$A$29,0)))/(Inputs!$C$5*1000000)</f>
        <v>4.7200000000000006E-2</v>
      </c>
    </row>
    <row r="32" spans="1:10" x14ac:dyDescent="0.35">
      <c r="A32" s="8">
        <v>49</v>
      </c>
      <c r="B32" s="11">
        <f>Inputs!$C$8*A32*(A32-1)+2*Inputs!$C$9*A32+Inputs!$C$10</f>
        <v>29352</v>
      </c>
      <c r="C32" s="11">
        <f>Inputs!$C$11+Inputs!$C$12*A32</f>
        <v>1131</v>
      </c>
      <c r="D32" s="11">
        <f>Inputs!$C$13</f>
        <v>800</v>
      </c>
      <c r="E32" s="13">
        <f>B32/(Inputs!$C$4*Inputs!$C$5)+C32/(Inputs!$C$4*Inputs!$C$6)+D32/(Inputs!$C$4*Inputs!$C$7)</f>
        <v>1.7337117647058826</v>
      </c>
      <c r="F32" s="13">
        <f>E32+2*A32*Inputs!$C$14/Inputs!$C$5</f>
        <v>5.2617117647058826</v>
      </c>
      <c r="G32" s="14">
        <f>Inputs!$C$15</f>
        <v>1</v>
      </c>
      <c r="H32" s="15">
        <f>2*A32*Inputs!$C$14*1000000+B32/Inputs!$C$4*1000000</f>
        <v>525.4588235294118</v>
      </c>
      <c r="I32" s="5">
        <f>IF(H32&lt;=Inputs!$C$5*1000000,1,0)</f>
        <v>0</v>
      </c>
      <c r="J32" s="16">
        <f>(2*A32*Inputs!$C$16*1000000+INDEX(Inputs!$E$24:$E$29,MATCH(MAX(8,2^CEILING(LOG(A32,2),1)),Inputs!$A$24:$A$29,0)))/(Inputs!$C$5*1000000)</f>
        <v>4.8000000000000001E-2</v>
      </c>
    </row>
    <row r="33" spans="1:10" x14ac:dyDescent="0.35">
      <c r="A33" s="8">
        <v>54</v>
      </c>
      <c r="B33" s="11">
        <f>Inputs!$C$8*A33*(A33-1)+2*Inputs!$C$9*A33+Inputs!$C$10</f>
        <v>35582</v>
      </c>
      <c r="C33" s="11">
        <f>Inputs!$C$11+Inputs!$C$12*A33</f>
        <v>1226</v>
      </c>
      <c r="D33" s="11">
        <f>Inputs!$C$13</f>
        <v>800</v>
      </c>
      <c r="E33" s="13">
        <f>B33/(Inputs!$C$4*Inputs!$C$5)+C33/(Inputs!$C$4*Inputs!$C$6)+D33/(Inputs!$C$4*Inputs!$C$7)</f>
        <v>2.1007411764705886</v>
      </c>
      <c r="F33" s="13">
        <f>E33+2*A33*Inputs!$C$14/Inputs!$C$5</f>
        <v>5.9887411764705885</v>
      </c>
      <c r="G33" s="14">
        <f>Inputs!$C$15</f>
        <v>1</v>
      </c>
      <c r="H33" s="15">
        <f>2*A33*Inputs!$C$14*1000000+B33/Inputs!$C$4*1000000</f>
        <v>598.10588235294108</v>
      </c>
      <c r="I33" s="5">
        <f>IF(H33&lt;=Inputs!$C$5*1000000,1,0)</f>
        <v>0</v>
      </c>
      <c r="J33" s="16">
        <f>(2*A33*Inputs!$C$16*1000000+INDEX(Inputs!$E$24:$E$29,MATCH(MAX(8,2^CEILING(LOG(A33,2),1)),Inputs!$A$24:$A$29,0)))/(Inputs!$C$5*1000000)</f>
        <v>5.2000000000000005E-2</v>
      </c>
    </row>
    <row r="34" spans="1:10" x14ac:dyDescent="0.35">
      <c r="A34" s="8">
        <v>60</v>
      </c>
      <c r="B34" s="11">
        <f>Inputs!$C$8*A34*(A34-1)+2*Inputs!$C$9*A34+Inputs!$C$10</f>
        <v>43850</v>
      </c>
      <c r="C34" s="11">
        <f>Inputs!$C$11+Inputs!$C$12*A34</f>
        <v>1340</v>
      </c>
      <c r="D34" s="11">
        <f>Inputs!$C$13</f>
        <v>800</v>
      </c>
      <c r="E34" s="13">
        <f>B34/(Inputs!$C$4*Inputs!$C$5)+C34/(Inputs!$C$4*Inputs!$C$6)+D34/(Inputs!$C$4*Inputs!$C$7)</f>
        <v>2.5877647058823534</v>
      </c>
      <c r="F34" s="13">
        <f>E34+2*A34*Inputs!$C$14/Inputs!$C$5</f>
        <v>6.9077647058823528</v>
      </c>
      <c r="G34" s="14">
        <f>Inputs!$C$15</f>
        <v>1</v>
      </c>
      <c r="H34" s="15">
        <f>2*A34*Inputs!$C$14*1000000+B34/Inputs!$C$4*1000000</f>
        <v>689.94117647058829</v>
      </c>
      <c r="I34" s="5">
        <f>IF(H34&lt;=Inputs!$C$5*1000000,1,0)</f>
        <v>0</v>
      </c>
      <c r="J34" s="16">
        <f>(2*A34*Inputs!$C$16*1000000+INDEX(Inputs!$E$24:$E$29,MATCH(MAX(8,2^CEILING(LOG(A34,2),1)),Inputs!$A$24:$A$29,0)))/(Inputs!$C$5*1000000)</f>
        <v>5.6799999999999996E-2</v>
      </c>
    </row>
    <row r="35" spans="1:10" x14ac:dyDescent="0.35">
      <c r="A35" s="8">
        <v>64</v>
      </c>
      <c r="B35" s="11">
        <f>Inputs!$C$8*A35*(A35-1)+2*Inputs!$C$9*A35+Inputs!$C$10</f>
        <v>49842</v>
      </c>
      <c r="C35" s="11">
        <f>Inputs!$C$11+Inputs!$C$12*A35</f>
        <v>1416</v>
      </c>
      <c r="D35" s="11">
        <f>Inputs!$C$13</f>
        <v>800</v>
      </c>
      <c r="E35" s="13">
        <f>B35/(Inputs!$C$4*Inputs!$C$5)+C35/(Inputs!$C$4*Inputs!$C$6)+D35/(Inputs!$C$4*Inputs!$C$7)</f>
        <v>2.9406823529411765</v>
      </c>
      <c r="F35" s="13">
        <f>E35+2*A35*Inputs!$C$14/Inputs!$C$5</f>
        <v>7.5486823529411762</v>
      </c>
      <c r="G35" s="14">
        <f>Inputs!$C$15</f>
        <v>1</v>
      </c>
      <c r="H35" s="15">
        <f>2*A35*Inputs!$C$14*1000000+B35/Inputs!$C$4*1000000</f>
        <v>753.98823529411766</v>
      </c>
      <c r="I35" s="5">
        <f>IF(H35&lt;=Inputs!$C$5*1000000,1,0)</f>
        <v>0</v>
      </c>
      <c r="J35" s="16">
        <f>(2*A35*Inputs!$C$16*1000000+INDEX(Inputs!$E$24:$E$29,MATCH(MAX(8,2^CEILING(LOG(A35,2),1)),Inputs!$A$24:$A$29,0)))/(Inputs!$C$5*1000000)</f>
        <v>0.06</v>
      </c>
    </row>
    <row r="36" spans="1:10" x14ac:dyDescent="0.35">
      <c r="A36" s="8">
        <v>66</v>
      </c>
      <c r="B36" s="11">
        <f>Inputs!$C$8*A36*(A36-1)+2*Inputs!$C$9*A36+Inputs!$C$10</f>
        <v>52982</v>
      </c>
      <c r="C36" s="11">
        <f>Inputs!$C$11+Inputs!$C$12*A36</f>
        <v>1454</v>
      </c>
      <c r="D36" s="11">
        <f>Inputs!$C$13</f>
        <v>800</v>
      </c>
      <c r="E36" s="13">
        <f>B36/(Inputs!$C$4*Inputs!$C$5)+C36/(Inputs!$C$4*Inputs!$C$6)+D36/(Inputs!$C$4*Inputs!$C$7)</f>
        <v>3.1256117647058823</v>
      </c>
      <c r="F36" s="13">
        <f>E36+2*A36*Inputs!$C$14/Inputs!$C$5</f>
        <v>7.8776117647058825</v>
      </c>
      <c r="G36" s="14">
        <f>Inputs!$C$15</f>
        <v>1</v>
      </c>
      <c r="H36" s="15">
        <f>2*A36*Inputs!$C$14*1000000+B36/Inputs!$C$4*1000000</f>
        <v>786.85882352941167</v>
      </c>
      <c r="I36" s="5">
        <f>IF(H36&lt;=Inputs!$C$5*1000000,1,0)</f>
        <v>0</v>
      </c>
      <c r="J36" s="16">
        <f>(2*A36*Inputs!$C$16*1000000+INDEX(Inputs!$E$24:$E$29,MATCH(MAX(8,2^CEILING(LOG(A36,2),1)),Inputs!$A$24:$A$29,0)))/(Inputs!$C$5*1000000)</f>
        <v>6.4399999999999999E-2</v>
      </c>
    </row>
    <row r="37" spans="1:10" x14ac:dyDescent="0.35">
      <c r="A37" s="8">
        <v>74</v>
      </c>
      <c r="B37" s="11">
        <f>Inputs!$C$8*A37*(A37-1)+2*Inputs!$C$9*A37+Inputs!$C$10</f>
        <v>66502</v>
      </c>
      <c r="C37" s="11">
        <f>Inputs!$C$11+Inputs!$C$12*A37</f>
        <v>1606</v>
      </c>
      <c r="D37" s="11">
        <f>Inputs!$C$13</f>
        <v>800</v>
      </c>
      <c r="E37" s="13">
        <f>B37/(Inputs!$C$4*Inputs!$C$5)+C37/(Inputs!$C$4*Inputs!$C$6)+D37/(Inputs!$C$4*Inputs!$C$7)</f>
        <v>3.9218000000000002</v>
      </c>
      <c r="F37" s="13">
        <f>E37+2*A37*Inputs!$C$14/Inputs!$C$5</f>
        <v>9.2498000000000005</v>
      </c>
      <c r="G37" s="14">
        <f>Inputs!$C$15</f>
        <v>1</v>
      </c>
      <c r="H37" s="15">
        <f>2*A37*Inputs!$C$14*1000000+B37/Inputs!$C$4*1000000</f>
        <v>923.98823529411766</v>
      </c>
      <c r="I37" s="5">
        <f>IF(H37&lt;=Inputs!$C$5*1000000,1,0)</f>
        <v>0</v>
      </c>
      <c r="J37" s="16">
        <f>(2*A37*Inputs!$C$16*1000000+INDEX(Inputs!$E$24:$E$29,MATCH(MAX(8,2^CEILING(LOG(A37,2),1)),Inputs!$A$24:$A$29,0)))/(Inputs!$C$5*1000000)</f>
        <v>7.0800000000000002E-2</v>
      </c>
    </row>
    <row r="38" spans="1:10" x14ac:dyDescent="0.35">
      <c r="A38" s="8">
        <v>82</v>
      </c>
      <c r="B38" s="11">
        <f>Inputs!$C$8*A38*(A38-1)+2*Inputs!$C$9*A38+Inputs!$C$10</f>
        <v>81558</v>
      </c>
      <c r="C38" s="11">
        <f>Inputs!$C$11+Inputs!$C$12*A38</f>
        <v>1758</v>
      </c>
      <c r="D38" s="11">
        <f>Inputs!$C$13</f>
        <v>800</v>
      </c>
      <c r="E38" s="13">
        <f>B38/(Inputs!$C$4*Inputs!$C$5)+C38/(Inputs!$C$4*Inputs!$C$6)+D38/(Inputs!$C$4*Inputs!$C$7)</f>
        <v>4.8083411764705879</v>
      </c>
      <c r="F38" s="13">
        <f>E38+2*A38*Inputs!$C$14/Inputs!$C$5</f>
        <v>10.712341176470588</v>
      </c>
      <c r="G38" s="14">
        <f>Inputs!$C$15</f>
        <v>1</v>
      </c>
      <c r="H38" s="15">
        <f>2*A38*Inputs!$C$14*1000000+B38/Inputs!$C$4*1000000</f>
        <v>1070.1529411764704</v>
      </c>
      <c r="I38" s="5">
        <f>IF(H38&lt;=Inputs!$C$5*1000000,1,0)</f>
        <v>0</v>
      </c>
      <c r="J38" s="16">
        <f>(2*A38*Inputs!$C$16*1000000+INDEX(Inputs!$E$24:$E$29,MATCH(MAX(8,2^CEILING(LOG(A38,2),1)),Inputs!$A$24:$A$29,0)))/(Inputs!$C$5*1000000)</f>
        <v>7.7199999999999991E-2</v>
      </c>
    </row>
    <row r="39" spans="1:10" x14ac:dyDescent="0.35">
      <c r="A39" s="8">
        <v>91</v>
      </c>
      <c r="B39" s="11">
        <f>Inputs!$C$8*A39*(A39-1)+2*Inputs!$C$9*A39+Inputs!$C$10</f>
        <v>100332</v>
      </c>
      <c r="C39" s="11">
        <f>Inputs!$C$11+Inputs!$C$12*A39</f>
        <v>1929</v>
      </c>
      <c r="D39" s="11">
        <f>Inputs!$C$13</f>
        <v>800</v>
      </c>
      <c r="E39" s="13">
        <f>B39/(Inputs!$C$4*Inputs!$C$5)+C39/(Inputs!$C$4*Inputs!$C$6)+D39/(Inputs!$C$4*Inputs!$C$7)</f>
        <v>5.9137000000000004</v>
      </c>
      <c r="F39" s="13">
        <f>E39+2*A39*Inputs!$C$14/Inputs!$C$5</f>
        <v>12.4657</v>
      </c>
      <c r="G39" s="14">
        <f>Inputs!$C$15</f>
        <v>1</v>
      </c>
      <c r="H39" s="15">
        <f>2*A39*Inputs!$C$14*1000000+B39/Inputs!$C$4*1000000</f>
        <v>1245.3882352941177</v>
      </c>
      <c r="I39" s="5">
        <f>IF(H39&lt;=Inputs!$C$5*1000000,1,0)</f>
        <v>0</v>
      </c>
      <c r="J39" s="16">
        <f>(2*A39*Inputs!$C$16*1000000+INDEX(Inputs!$E$24:$E$29,MATCH(MAX(8,2^CEILING(LOG(A39,2),1)),Inputs!$A$24:$A$29,0)))/(Inputs!$C$5*1000000)</f>
        <v>8.4399999999999989E-2</v>
      </c>
    </row>
    <row r="40" spans="1:10" x14ac:dyDescent="0.35">
      <c r="A40" s="8">
        <v>96</v>
      </c>
      <c r="B40" s="11">
        <f>Inputs!$C$8*A40*(A40-1)+2*Inputs!$C$9*A40+Inputs!$C$10</f>
        <v>111602</v>
      </c>
      <c r="C40" s="11">
        <f>Inputs!$C$11+Inputs!$C$12*A40</f>
        <v>2024</v>
      </c>
      <c r="D40" s="11">
        <f>Inputs!$C$13</f>
        <v>800</v>
      </c>
      <c r="E40" s="13">
        <f>B40/(Inputs!$C$4*Inputs!$C$5)+C40/(Inputs!$C$4*Inputs!$C$6)+D40/(Inputs!$C$4*Inputs!$C$7)</f>
        <v>6.5772000000000004</v>
      </c>
      <c r="F40" s="13">
        <f>E40+2*A40*Inputs!$C$14/Inputs!$C$5</f>
        <v>13.4892</v>
      </c>
      <c r="G40" s="14">
        <f>Inputs!$C$15</f>
        <v>1</v>
      </c>
      <c r="H40" s="15">
        <f>2*A40*Inputs!$C$14*1000000+B40/Inputs!$C$4*1000000</f>
        <v>1347.6823529411765</v>
      </c>
      <c r="I40" s="5">
        <f>IF(H40&lt;=Inputs!$C$5*1000000,1,0)</f>
        <v>0</v>
      </c>
      <c r="J40" s="16">
        <f>(2*A40*Inputs!$C$16*1000000+INDEX(Inputs!$E$24:$E$29,MATCH(MAX(8,2^CEILING(LOG(A40,2),1)),Inputs!$A$24:$A$29,0)))/(Inputs!$C$5*1000000)</f>
        <v>8.8399999999999992E-2</v>
      </c>
    </row>
    <row r="41" spans="1:10" x14ac:dyDescent="0.35">
      <c r="A41" s="8">
        <v>100</v>
      </c>
      <c r="B41" s="11">
        <f>Inputs!$C$8*A41*(A41-1)+2*Inputs!$C$9*A41+Inputs!$C$10</f>
        <v>121050</v>
      </c>
      <c r="C41" s="11">
        <f>Inputs!$C$11+Inputs!$C$12*A41</f>
        <v>2100</v>
      </c>
      <c r="D41" s="11">
        <f>Inputs!$C$13</f>
        <v>800</v>
      </c>
      <c r="E41" s="13">
        <f>B41/(Inputs!$C$4*Inputs!$C$5)+C41/(Inputs!$C$4*Inputs!$C$6)+D41/(Inputs!$C$4*Inputs!$C$7)</f>
        <v>7.1334117647058823</v>
      </c>
      <c r="F41" s="13">
        <f>E41+2*A41*Inputs!$C$14/Inputs!$C$5</f>
        <v>14.333411764705883</v>
      </c>
      <c r="G41" s="14">
        <f>Inputs!$C$15</f>
        <v>1</v>
      </c>
      <c r="H41" s="15">
        <f>2*A41*Inputs!$C$14*1000000+B41/Inputs!$C$4*1000000</f>
        <v>1432.0588235294117</v>
      </c>
      <c r="I41" s="5">
        <f>IF(H41&lt;=Inputs!$C$5*1000000,1,0)</f>
        <v>0</v>
      </c>
      <c r="J41" s="16">
        <f>(2*A41*Inputs!$C$16*1000000+INDEX(Inputs!$E$24:$E$29,MATCH(MAX(8,2^CEILING(LOG(A41,2),1)),Inputs!$A$24:$A$29,0)))/(Inputs!$C$5*1000000)</f>
        <v>9.1600000000000001E-2</v>
      </c>
    </row>
    <row r="42" spans="1:10" x14ac:dyDescent="0.35">
      <c r="A42" s="8">
        <v>111</v>
      </c>
      <c r="B42" s="11">
        <f>Inputs!$C$8*A42*(A42-1)+2*Inputs!$C$9*A42+Inputs!$C$10</f>
        <v>149012</v>
      </c>
      <c r="C42" s="11">
        <f>Inputs!$C$11+Inputs!$C$12*A42</f>
        <v>2309</v>
      </c>
      <c r="D42" s="11">
        <f>Inputs!$C$13</f>
        <v>800</v>
      </c>
      <c r="E42" s="13">
        <f>B42/(Inputs!$C$4*Inputs!$C$5)+C42/(Inputs!$C$4*Inputs!$C$6)+D42/(Inputs!$C$4*Inputs!$C$7)</f>
        <v>8.7794647058823525</v>
      </c>
      <c r="F42" s="13">
        <f>E42+2*A42*Inputs!$C$14/Inputs!$C$5</f>
        <v>16.771464705882352</v>
      </c>
      <c r="G42" s="14">
        <f>Inputs!$C$15</f>
        <v>1</v>
      </c>
      <c r="H42" s="15">
        <f>2*A42*Inputs!$C$14*1000000+B42/Inputs!$C$4*1000000</f>
        <v>1675.741176470588</v>
      </c>
      <c r="I42" s="5">
        <f>IF(H42&lt;=Inputs!$C$5*1000000,1,0)</f>
        <v>0</v>
      </c>
      <c r="J42" s="16">
        <f>(2*A42*Inputs!$C$16*1000000+INDEX(Inputs!$E$24:$E$29,MATCH(MAX(8,2^CEILING(LOG(A42,2),1)),Inputs!$A$24:$A$29,0)))/(Inputs!$C$5*1000000)</f>
        <v>0.10039999999999999</v>
      </c>
    </row>
    <row r="43" spans="1:10" x14ac:dyDescent="0.35">
      <c r="A43" s="8">
        <v>124</v>
      </c>
      <c r="B43" s="11">
        <f>Inputs!$C$8*A43*(A43-1)+2*Inputs!$C$9*A43+Inputs!$C$10</f>
        <v>185802</v>
      </c>
      <c r="C43" s="11">
        <f>Inputs!$C$11+Inputs!$C$12*A43</f>
        <v>2556</v>
      </c>
      <c r="D43" s="11">
        <f>Inputs!$C$13</f>
        <v>800</v>
      </c>
      <c r="E43" s="13">
        <f>B43/(Inputs!$C$4*Inputs!$C$5)+C43/(Inputs!$C$4*Inputs!$C$6)+D43/(Inputs!$C$4*Inputs!$C$7)</f>
        <v>10.945035294117647</v>
      </c>
      <c r="F43" s="13">
        <f>E43+2*A43*Inputs!$C$14/Inputs!$C$5</f>
        <v>19.873035294117646</v>
      </c>
      <c r="G43" s="14">
        <f>Inputs!$C$15</f>
        <v>1</v>
      </c>
      <c r="H43" s="15">
        <f>2*A43*Inputs!$C$14*1000000+B43/Inputs!$C$4*1000000</f>
        <v>1985.7529411764706</v>
      </c>
      <c r="I43" s="5">
        <f>IF(H43&lt;=Inputs!$C$5*1000000,1,0)</f>
        <v>0</v>
      </c>
      <c r="J43" s="16">
        <f>(2*A43*Inputs!$C$16*1000000+INDEX(Inputs!$E$24:$E$29,MATCH(MAX(8,2^CEILING(LOG(A43,2),1)),Inputs!$A$24:$A$29,0)))/(Inputs!$C$5*1000000)</f>
        <v>0.1108</v>
      </c>
    </row>
    <row r="44" spans="1:10" x14ac:dyDescent="0.35">
      <c r="A44" s="8">
        <v>128</v>
      </c>
      <c r="B44" s="11">
        <f>Inputs!$C$8*A44*(A44-1)+2*Inputs!$C$9*A44+Inputs!$C$10</f>
        <v>197938</v>
      </c>
      <c r="C44" s="11">
        <f>Inputs!$C$11+Inputs!$C$12*A44</f>
        <v>2632</v>
      </c>
      <c r="D44" s="11">
        <f>Inputs!$C$13</f>
        <v>800</v>
      </c>
      <c r="E44" s="13">
        <f>B44/(Inputs!$C$4*Inputs!$C$5)+C44/(Inputs!$C$4*Inputs!$C$6)+D44/(Inputs!$C$4*Inputs!$C$7)</f>
        <v>11.659364705882354</v>
      </c>
      <c r="F44" s="13">
        <f>E44+2*A44*Inputs!$C$14/Inputs!$C$5</f>
        <v>20.875364705882355</v>
      </c>
      <c r="G44" s="14">
        <f>Inputs!$C$15</f>
        <v>1</v>
      </c>
      <c r="H44" s="15">
        <f>2*A44*Inputs!$C$14*1000000+B44/Inputs!$C$4*1000000</f>
        <v>2085.9411764705883</v>
      </c>
      <c r="I44" s="5">
        <f>IF(H44&lt;=Inputs!$C$5*1000000,1,0)</f>
        <v>0</v>
      </c>
      <c r="J44" s="16">
        <f>(2*A44*Inputs!$C$16*1000000+INDEX(Inputs!$E$24:$E$29,MATCH(MAX(8,2^CEILING(LOG(A44,2),1)),Inputs!$A$24:$A$29,0)))/(Inputs!$C$5*1000000)</f>
        <v>0.114</v>
      </c>
    </row>
    <row r="45" spans="1:10" x14ac:dyDescent="0.35">
      <c r="A45" s="8">
        <v>137</v>
      </c>
      <c r="B45" s="11">
        <f>Inputs!$C$8*A45*(A45-1)+2*Inputs!$C$9*A45+Inputs!$C$10</f>
        <v>226648</v>
      </c>
      <c r="C45" s="11">
        <f>Inputs!$C$11+Inputs!$C$12*A45</f>
        <v>2803</v>
      </c>
      <c r="D45" s="11">
        <f>Inputs!$C$13</f>
        <v>800</v>
      </c>
      <c r="E45" s="13">
        <f>B45/(Inputs!$C$4*Inputs!$C$5)+C45/(Inputs!$C$4*Inputs!$C$6)+D45/(Inputs!$C$4*Inputs!$C$7)</f>
        <v>13.349194117647057</v>
      </c>
      <c r="F45" s="13">
        <f>E45+2*A45*Inputs!$C$14/Inputs!$C$5</f>
        <v>23.213194117647056</v>
      </c>
      <c r="G45" s="14">
        <f>Inputs!$C$15</f>
        <v>1</v>
      </c>
      <c r="H45" s="15">
        <f>2*A45*Inputs!$C$14*1000000+B45/Inputs!$C$4*1000000</f>
        <v>2319.6235294117646</v>
      </c>
      <c r="I45" s="5">
        <f>IF(H45&lt;=Inputs!$C$5*1000000,1,0)</f>
        <v>0</v>
      </c>
      <c r="J45" s="16">
        <f>(2*A45*Inputs!$C$16*1000000+INDEX(Inputs!$E$24:$E$29,MATCH(MAX(8,2^CEILING(LOG(A45,2),1)),Inputs!$A$24:$A$29,0)))/(Inputs!$C$5*1000000)</f>
        <v>0.12440000000000001</v>
      </c>
    </row>
    <row r="46" spans="1:10" x14ac:dyDescent="0.35">
      <c r="A46" s="8">
        <v>152</v>
      </c>
      <c r="B46" s="11">
        <f>Inputs!$C$8*A46*(A46-1)+2*Inputs!$C$9*A46+Inputs!$C$10</f>
        <v>278818</v>
      </c>
      <c r="C46" s="11">
        <f>Inputs!$C$11+Inputs!$C$12*A46</f>
        <v>3088</v>
      </c>
      <c r="D46" s="11">
        <f>Inputs!$C$13</f>
        <v>800</v>
      </c>
      <c r="E46" s="13">
        <f>B46/(Inputs!$C$4*Inputs!$C$5)+C46/(Inputs!$C$4*Inputs!$C$6)+D46/(Inputs!$C$4*Inputs!$C$7)</f>
        <v>16.419694117647058</v>
      </c>
      <c r="F46" s="13">
        <f>E46+2*A46*Inputs!$C$14/Inputs!$C$5</f>
        <v>27.363694117647057</v>
      </c>
      <c r="G46" s="14">
        <f>Inputs!$C$15</f>
        <v>1</v>
      </c>
      <c r="H46" s="15">
        <f>2*A46*Inputs!$C$14*1000000+B46/Inputs!$C$4*1000000</f>
        <v>2734.5058823529407</v>
      </c>
      <c r="I46" s="5">
        <f>IF(H46&lt;=Inputs!$C$5*1000000,1,0)</f>
        <v>0</v>
      </c>
      <c r="J46" s="16">
        <f>(2*A46*Inputs!$C$16*1000000+INDEX(Inputs!$E$24:$E$29,MATCH(MAX(8,2^CEILING(LOG(A46,2),1)),Inputs!$A$24:$A$29,0)))/(Inputs!$C$5*1000000)</f>
        <v>0.13639999999999999</v>
      </c>
    </row>
    <row r="47" spans="1:10" x14ac:dyDescent="0.35">
      <c r="A47" s="8">
        <v>169</v>
      </c>
      <c r="B47" s="11">
        <f>Inputs!$C$8*A47*(A47-1)+2*Inputs!$C$9*A47+Inputs!$C$10</f>
        <v>344472</v>
      </c>
      <c r="C47" s="11">
        <f>Inputs!$C$11+Inputs!$C$12*A47</f>
        <v>3411</v>
      </c>
      <c r="D47" s="11">
        <f>Inputs!$C$13</f>
        <v>800</v>
      </c>
      <c r="E47" s="13">
        <f>B47/(Inputs!$C$4*Inputs!$C$5)+C47/(Inputs!$C$4*Inputs!$C$6)+D47/(Inputs!$C$4*Inputs!$C$7)</f>
        <v>20.283594117647059</v>
      </c>
      <c r="F47" s="13">
        <f>E47+2*A47*Inputs!$C$14/Inputs!$C$5</f>
        <v>32.451594117647055</v>
      </c>
      <c r="G47" s="14">
        <f>Inputs!$C$15</f>
        <v>1</v>
      </c>
      <c r="H47" s="15">
        <f>2*A47*Inputs!$C$14*1000000+B47/Inputs!$C$4*1000000</f>
        <v>3243.1058823529411</v>
      </c>
      <c r="I47" s="5">
        <f>IF(H47&lt;=Inputs!$C$5*1000000,1,0)</f>
        <v>0</v>
      </c>
      <c r="J47" s="16">
        <f>(2*A47*Inputs!$C$16*1000000+INDEX(Inputs!$E$24:$E$29,MATCH(MAX(8,2^CEILING(LOG(A47,2),1)),Inputs!$A$24:$A$29,0)))/(Inputs!$C$5*1000000)</f>
        <v>0.15000000000000002</v>
      </c>
    </row>
    <row r="48" spans="1:10" x14ac:dyDescent="0.35">
      <c r="A48" s="8">
        <v>187</v>
      </c>
      <c r="B48" s="11">
        <f>Inputs!$C$8*A48*(A48-1)+2*Inputs!$C$9*A48+Inputs!$C$10</f>
        <v>421548</v>
      </c>
      <c r="C48" s="11">
        <f>Inputs!$C$11+Inputs!$C$12*A48</f>
        <v>3753</v>
      </c>
      <c r="D48" s="11">
        <f>Inputs!$C$13</f>
        <v>800</v>
      </c>
      <c r="E48" s="13">
        <f>B48/(Inputs!$C$4*Inputs!$C$5)+C48/(Inputs!$C$4*Inputs!$C$6)+D48/(Inputs!$C$4*Inputs!$C$7)</f>
        <v>24.81948823529412</v>
      </c>
      <c r="F48" s="13">
        <f>E48+2*A48*Inputs!$C$14/Inputs!$C$5</f>
        <v>38.283488235294115</v>
      </c>
      <c r="G48" s="14">
        <f>Inputs!$C$15</f>
        <v>1</v>
      </c>
      <c r="H48" s="15">
        <f>2*A48*Inputs!$C$14*1000000+B48/Inputs!$C$4*1000000</f>
        <v>3826.0941176470592</v>
      </c>
      <c r="I48" s="5">
        <f>IF(H48&lt;=Inputs!$C$5*1000000,1,0)</f>
        <v>0</v>
      </c>
      <c r="J48" s="16">
        <f>(2*A48*Inputs!$C$16*1000000+INDEX(Inputs!$E$24:$E$29,MATCH(MAX(8,2^CEILING(LOG(A48,2),1)),Inputs!$A$24:$A$29,0)))/(Inputs!$C$5*1000000)</f>
        <v>0.16440000000000002</v>
      </c>
    </row>
    <row r="49" spans="1:10" x14ac:dyDescent="0.35">
      <c r="A49" s="8">
        <v>192</v>
      </c>
      <c r="B49" s="11">
        <f>Inputs!$C$8*A49*(A49-1)+2*Inputs!$C$9*A49+Inputs!$C$10</f>
        <v>444338</v>
      </c>
      <c r="C49" s="11">
        <f>Inputs!$C$11+Inputs!$C$12*A49</f>
        <v>3848</v>
      </c>
      <c r="D49" s="11">
        <f>Inputs!$C$13</f>
        <v>800</v>
      </c>
      <c r="E49" s="13">
        <f>B49/(Inputs!$C$4*Inputs!$C$5)+C49/(Inputs!$C$4*Inputs!$C$6)+D49/(Inputs!$C$4*Inputs!$C$7)</f>
        <v>26.16063529411765</v>
      </c>
      <c r="F49" s="13">
        <f>E49+2*A49*Inputs!$C$14/Inputs!$C$5</f>
        <v>39.984635294117652</v>
      </c>
      <c r="G49" s="14">
        <f>Inputs!$C$15</f>
        <v>1</v>
      </c>
      <c r="H49" s="15">
        <f>2*A49*Inputs!$C$14*1000000+B49/Inputs!$C$4*1000000</f>
        <v>3996.1529411764704</v>
      </c>
      <c r="I49" s="5">
        <f>IF(H49&lt;=Inputs!$C$5*1000000,1,0)</f>
        <v>0</v>
      </c>
      <c r="J49" s="16">
        <f>(2*A49*Inputs!$C$16*1000000+INDEX(Inputs!$E$24:$E$29,MATCH(MAX(8,2^CEILING(LOG(A49,2),1)),Inputs!$A$24:$A$29,0)))/(Inputs!$C$5*1000000)</f>
        <v>0.16839999999999999</v>
      </c>
    </row>
    <row r="50" spans="1:10" x14ac:dyDescent="0.35">
      <c r="A50" s="8">
        <v>208</v>
      </c>
      <c r="B50" s="11">
        <f>Inputs!$C$8*A50*(A50-1)+2*Inputs!$C$9*A50+Inputs!$C$10</f>
        <v>521298</v>
      </c>
      <c r="C50" s="11">
        <f>Inputs!$C$11+Inputs!$C$12*A50</f>
        <v>4152</v>
      </c>
      <c r="D50" s="11">
        <f>Inputs!$C$13</f>
        <v>800</v>
      </c>
      <c r="E50" s="13">
        <f>B50/(Inputs!$C$4*Inputs!$C$5)+C50/(Inputs!$C$4*Inputs!$C$6)+D50/(Inputs!$C$4*Inputs!$C$7)</f>
        <v>30.689482352941177</v>
      </c>
      <c r="F50" s="13">
        <f>E50+2*A50*Inputs!$C$14/Inputs!$C$5</f>
        <v>45.665482352941176</v>
      </c>
      <c r="G50" s="14">
        <f>Inputs!$C$15</f>
        <v>1</v>
      </c>
      <c r="H50" s="15">
        <f>2*A50*Inputs!$C$14*1000000+B50/Inputs!$C$4*1000000</f>
        <v>4564.0588235294117</v>
      </c>
      <c r="I50" s="5">
        <f>IF(H50&lt;=Inputs!$C$5*1000000,1,0)</f>
        <v>0</v>
      </c>
      <c r="J50" s="16">
        <f>(2*A50*Inputs!$C$16*1000000+INDEX(Inputs!$E$24:$E$29,MATCH(MAX(8,2^CEILING(LOG(A50,2),1)),Inputs!$A$24:$A$29,0)))/(Inputs!$C$5*1000000)</f>
        <v>0.1812</v>
      </c>
    </row>
    <row r="51" spans="1:10" x14ac:dyDescent="0.35">
      <c r="A51" s="8">
        <v>231</v>
      </c>
      <c r="B51" s="11">
        <f>Inputs!$C$8*A51*(A51-1)+2*Inputs!$C$9*A51+Inputs!$C$10</f>
        <v>642692</v>
      </c>
      <c r="C51" s="11">
        <f>Inputs!$C$11+Inputs!$C$12*A51</f>
        <v>4589</v>
      </c>
      <c r="D51" s="11">
        <f>Inputs!$C$13</f>
        <v>800</v>
      </c>
      <c r="E51" s="13">
        <f>B51/(Inputs!$C$4*Inputs!$C$5)+C51/(Inputs!$C$4*Inputs!$C$6)+D51/(Inputs!$C$4*Inputs!$C$7)</f>
        <v>37.832876470588232</v>
      </c>
      <c r="F51" s="13">
        <f>E51+2*A51*Inputs!$C$14/Inputs!$C$5</f>
        <v>54.46487647058823</v>
      </c>
      <c r="G51" s="14">
        <f>Inputs!$C$15</f>
        <v>1</v>
      </c>
      <c r="H51" s="15">
        <f>2*A51*Inputs!$C$14*1000000+B51/Inputs!$C$4*1000000</f>
        <v>5443.7411764705885</v>
      </c>
      <c r="I51" s="5">
        <f>IF(H51&lt;=Inputs!$C$5*1000000,1,0)</f>
        <v>0</v>
      </c>
      <c r="J51" s="16">
        <f>(2*A51*Inputs!$C$16*1000000+INDEX(Inputs!$E$24:$E$29,MATCH(MAX(8,2^CEILING(LOG(A51,2),1)),Inputs!$A$24:$A$29,0)))/(Inputs!$C$5*1000000)</f>
        <v>0.1996</v>
      </c>
    </row>
    <row r="52" spans="1:10" x14ac:dyDescent="0.35">
      <c r="A52" s="8">
        <v>256</v>
      </c>
      <c r="B52" s="11">
        <f>Inputs!$C$8*A52*(A52-1)+2*Inputs!$C$9*A52+Inputs!$C$10</f>
        <v>789042</v>
      </c>
      <c r="C52" s="11">
        <f>Inputs!$C$11+Inputs!$C$12*A52</f>
        <v>5064</v>
      </c>
      <c r="D52" s="11">
        <f>Inputs!$C$13</f>
        <v>800</v>
      </c>
      <c r="E52" s="13">
        <f>B52/(Inputs!$C$4*Inputs!$C$5)+C52/(Inputs!$C$4*Inputs!$C$6)+D52/(Inputs!$C$4*Inputs!$C$7)</f>
        <v>46.444494117647061</v>
      </c>
      <c r="F52" s="13">
        <f>E52+2*A52*Inputs!$C$14/Inputs!$C$5</f>
        <v>64.876494117647056</v>
      </c>
      <c r="G52" s="14">
        <f>Inputs!$C$15</f>
        <v>1</v>
      </c>
      <c r="H52" s="15">
        <f>2*A52*Inputs!$C$14*1000000+B52/Inputs!$C$4*1000000</f>
        <v>6484.623529411765</v>
      </c>
      <c r="I52" s="5">
        <f>IF(H52&lt;=Inputs!$C$5*1000000,1,0)</f>
        <v>0</v>
      </c>
      <c r="J52" s="16">
        <f>(2*A52*Inputs!$C$16*1000000+INDEX(Inputs!$E$24:$E$29,MATCH(MAX(8,2^CEILING(LOG(A52,2),1)),Inputs!$A$24:$A$29,0)))/(Inputs!$C$5*1000000)</f>
        <v>0.21960000000000002</v>
      </c>
    </row>
    <row r="54" spans="1:10" ht="15" customHeight="1" x14ac:dyDescent="0.35">
      <c r="A54" s="18" t="s">
        <v>79</v>
      </c>
      <c r="B54" s="18"/>
      <c r="C54" s="18"/>
      <c r="D54" s="18"/>
      <c r="E54" s="5">
        <f>INDEX(A4:A52,SUMPRODUCT(I4:I52))</f>
        <v>12</v>
      </c>
    </row>
    <row r="55" spans="1:10" ht="15" customHeight="1" x14ac:dyDescent="0.35">
      <c r="A55" s="18" t="s">
        <v>80</v>
      </c>
      <c r="B55" s="18"/>
      <c r="C55" s="18"/>
      <c r="D55" s="18"/>
      <c r="E55" s="5">
        <f>INDEX(A4:A52,SUMPRODUCT((F4:F52&lt;=Inputs!$C$15)*1))</f>
        <v>12</v>
      </c>
    </row>
    <row r="56" spans="1:10" ht="15" customHeight="1" x14ac:dyDescent="0.35">
      <c r="A56" s="18" t="s">
        <v>81</v>
      </c>
      <c r="B56" s="18"/>
      <c r="C56" s="18"/>
      <c r="D56" s="18"/>
      <c r="E56" s="5">
        <f>INDEX(A4:A52,SUMPRODUCT((E4:E52&lt;=Inputs!$C$15)*1))</f>
        <v>37</v>
      </c>
    </row>
  </sheetData>
  <mergeCells count="3">
    <mergeCell ref="A54:D54"/>
    <mergeCell ref="A55:D55"/>
    <mergeCell ref="A56:D5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showGridLines="0" zoomScaleNormal="100" workbookViewId="0">
      <selection activeCell="A12" sqref="A12:I12"/>
    </sheetView>
  </sheetViews>
  <sheetFormatPr baseColWidth="10" defaultColWidth="8.6328125" defaultRowHeight="14.5" x14ac:dyDescent="0.35"/>
  <cols>
    <col min="1" max="1" width="10" customWidth="1"/>
    <col min="2" max="2" width="14" customWidth="1"/>
    <col min="3" max="3" width="16" customWidth="1"/>
    <col min="4" max="4" width="12" customWidth="1"/>
    <col min="5" max="7" width="10" customWidth="1"/>
    <col min="8" max="9" width="12" customWidth="1"/>
  </cols>
  <sheetData>
    <row r="1" spans="1:9" x14ac:dyDescent="0.35">
      <c r="A1" s="1" t="s">
        <v>82</v>
      </c>
    </row>
    <row r="3" spans="1:9" ht="48" customHeight="1" x14ac:dyDescent="0.35">
      <c r="A3" s="3" t="s">
        <v>83</v>
      </c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 t="s">
        <v>89</v>
      </c>
      <c r="H3" s="3" t="s">
        <v>90</v>
      </c>
      <c r="I3" s="3" t="s">
        <v>91</v>
      </c>
    </row>
    <row r="4" spans="1:9" x14ac:dyDescent="0.35">
      <c r="A4" s="5">
        <f>Inputs!A24</f>
        <v>8</v>
      </c>
      <c r="B4" s="14">
        <f>Inputs!B24*100</f>
        <v>1.5</v>
      </c>
      <c r="C4" s="11">
        <f>Inputs!B24*Inputs!$C$18</f>
        <v>409.32</v>
      </c>
      <c r="D4" s="11">
        <f>Inputs!D24</f>
        <v>24</v>
      </c>
      <c r="E4" s="14">
        <f t="shared" ref="E4:E9" si="0">C4/D4</f>
        <v>17.055</v>
      </c>
      <c r="F4" s="5">
        <v>100</v>
      </c>
      <c r="G4" s="5" t="str">
        <f t="shared" ref="G4:G9" si="1">IF(B4&lt;=100,"yes","no")</f>
        <v>yes</v>
      </c>
      <c r="H4" s="17">
        <f>Inputs!$C$19</f>
        <v>128</v>
      </c>
      <c r="I4" s="5">
        <v>0</v>
      </c>
    </row>
    <row r="5" spans="1:9" x14ac:dyDescent="0.35">
      <c r="A5" s="5">
        <f>Inputs!A25</f>
        <v>16</v>
      </c>
      <c r="B5" s="14">
        <f>Inputs!B25*100</f>
        <v>3</v>
      </c>
      <c r="C5" s="11">
        <f>Inputs!B25*Inputs!$C$18</f>
        <v>818.64</v>
      </c>
      <c r="D5" s="11">
        <f>Inputs!D25</f>
        <v>80</v>
      </c>
      <c r="E5" s="14">
        <f t="shared" si="0"/>
        <v>10.233000000000001</v>
      </c>
      <c r="F5" s="5">
        <v>100</v>
      </c>
      <c r="G5" s="5" t="str">
        <f t="shared" si="1"/>
        <v>yes</v>
      </c>
      <c r="H5" s="17">
        <f>Inputs!$C$19</f>
        <v>128</v>
      </c>
      <c r="I5" s="5">
        <v>140</v>
      </c>
    </row>
    <row r="6" spans="1:9" x14ac:dyDescent="0.35">
      <c r="A6" s="5">
        <f>Inputs!A26</f>
        <v>32</v>
      </c>
      <c r="B6" s="14">
        <f>Inputs!B26*100</f>
        <v>8</v>
      </c>
      <c r="C6" s="11">
        <f>Inputs!B26*Inputs!$C$18</f>
        <v>2183.04</v>
      </c>
      <c r="D6" s="11">
        <f>Inputs!D26</f>
        <v>240</v>
      </c>
      <c r="E6" s="14">
        <f t="shared" si="0"/>
        <v>9.0960000000000001</v>
      </c>
      <c r="F6" s="5">
        <v>100</v>
      </c>
      <c r="G6" s="5" t="str">
        <f t="shared" si="1"/>
        <v>yes</v>
      </c>
    </row>
    <row r="7" spans="1:9" x14ac:dyDescent="0.35">
      <c r="A7" s="5">
        <f>Inputs!A27</f>
        <v>64</v>
      </c>
      <c r="B7" s="14">
        <f>Inputs!B27*100</f>
        <v>21</v>
      </c>
      <c r="C7" s="11">
        <f>Inputs!B27*Inputs!$C$18</f>
        <v>5730.48</v>
      </c>
      <c r="D7" s="11">
        <f>Inputs!D27</f>
        <v>672</v>
      </c>
      <c r="E7" s="14">
        <f t="shared" si="0"/>
        <v>8.5274999999999999</v>
      </c>
      <c r="F7" s="5">
        <v>100</v>
      </c>
      <c r="G7" s="5" t="str">
        <f t="shared" si="1"/>
        <v>yes</v>
      </c>
    </row>
    <row r="8" spans="1:9" x14ac:dyDescent="0.35">
      <c r="A8" s="5">
        <f>Inputs!A28</f>
        <v>128</v>
      </c>
      <c r="B8" s="14">
        <f>Inputs!B28*100</f>
        <v>55.000000000000007</v>
      </c>
      <c r="C8" s="11">
        <f>Inputs!B28*Inputs!$C$18</f>
        <v>15008.400000000001</v>
      </c>
      <c r="D8" s="11">
        <f>Inputs!D28</f>
        <v>1792</v>
      </c>
      <c r="E8" s="14">
        <f t="shared" si="0"/>
        <v>8.3752232142857146</v>
      </c>
      <c r="F8" s="5">
        <v>100</v>
      </c>
      <c r="G8" s="5" t="str">
        <f t="shared" si="1"/>
        <v>yes</v>
      </c>
    </row>
    <row r="9" spans="1:9" x14ac:dyDescent="0.35">
      <c r="A9" s="5">
        <f>Inputs!A29</f>
        <v>256</v>
      </c>
      <c r="B9" s="14">
        <f>Inputs!B29*100</f>
        <v>135</v>
      </c>
      <c r="C9" s="11">
        <f>Inputs!B29*Inputs!$C$18</f>
        <v>36838.800000000003</v>
      </c>
      <c r="D9" s="11">
        <f>Inputs!D29</f>
        <v>4608</v>
      </c>
      <c r="E9" s="14">
        <f t="shared" si="0"/>
        <v>7.9945312500000005</v>
      </c>
      <c r="F9" s="5">
        <v>100</v>
      </c>
      <c r="G9" s="5" t="str">
        <f t="shared" si="1"/>
        <v>no</v>
      </c>
    </row>
    <row r="11" spans="1:9" ht="15" customHeight="1" x14ac:dyDescent="0.35">
      <c r="A11" s="18" t="s">
        <v>92</v>
      </c>
      <c r="B11" s="18"/>
      <c r="C11" s="18"/>
      <c r="D11" s="18"/>
      <c r="E11" s="5">
        <f>INDEX(A4:A9,SUMPRODUCT((B4:B9&lt;=100)*1))</f>
        <v>128</v>
      </c>
    </row>
    <row r="12" spans="1:9" ht="23.9" customHeight="1" x14ac:dyDescent="0.35">
      <c r="A12" s="19"/>
      <c r="B12" s="19"/>
      <c r="C12" s="19"/>
      <c r="D12" s="19"/>
      <c r="E12" s="19"/>
      <c r="F12" s="19"/>
      <c r="G12" s="19"/>
      <c r="H12" s="19"/>
      <c r="I12" s="19"/>
    </row>
  </sheetData>
  <mergeCells count="2">
    <mergeCell ref="A11:D11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Figure</vt:lpstr>
      <vt:lpstr>Inputs</vt:lpstr>
      <vt:lpstr>Left U(N)</vt:lpstr>
      <vt:lpstr>Right 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ZAID JABBAR</dc:creator>
  <dc:description/>
  <cp:lastModifiedBy>Zaid Jabbar</cp:lastModifiedBy>
  <cp:revision>1</cp:revision>
  <dcterms:created xsi:type="dcterms:W3CDTF">2026-08-20T10:40:09Z</dcterms:created>
  <dcterms:modified xsi:type="dcterms:W3CDTF">2026-09-03T16:03:06Z</dcterms:modified>
  <dc:language>en-US</dc:language>
</cp:coreProperties>
</file>