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Jabbarz\Desktop\plan PhD\augest\Nouveau dossier\LAST\"/>
    </mc:Choice>
  </mc:AlternateContent>
  <xr:revisionPtr revIDLastSave="0" documentId="8_{934F9510-20F6-40C3-ADC5-C5153C2DDDF8}" xr6:coauthVersionLast="36" xr6:coauthVersionMax="36" xr10:uidLastSave="{00000000-0000-0000-0000-000000000000}"/>
  <bookViews>
    <workbookView xWindow="0" yWindow="0" windowWidth="14380" windowHeight="4880" tabRatio="500" activeTab="1" xr2:uid="{00000000-000D-0000-FFFF-FFFF00000000}"/>
  </bookViews>
  <sheets>
    <sheet name="Figure" sheetId="1" r:id="rId1"/>
    <sheet name="Inputs" sheetId="2" r:id="rId2"/>
    <sheet name="Data" sheetId="3" r:id="rId3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58" i="3" l="1"/>
  <c r="J58" i="3"/>
  <c r="I58" i="3"/>
  <c r="H58" i="3"/>
  <c r="G58" i="3"/>
  <c r="F58" i="3"/>
  <c r="E58" i="3"/>
  <c r="D58" i="3"/>
  <c r="C58" i="3"/>
  <c r="B58" i="3"/>
  <c r="K57" i="3"/>
  <c r="J57" i="3"/>
  <c r="I57" i="3"/>
  <c r="H57" i="3"/>
  <c r="G57" i="3"/>
  <c r="F57" i="3"/>
  <c r="E57" i="3"/>
  <c r="D57" i="3"/>
  <c r="C57" i="3"/>
  <c r="B57" i="3"/>
  <c r="K56" i="3"/>
  <c r="J56" i="3"/>
  <c r="I56" i="3"/>
  <c r="H56" i="3"/>
  <c r="G56" i="3"/>
  <c r="F56" i="3"/>
  <c r="E56" i="3"/>
  <c r="D56" i="3"/>
  <c r="C56" i="3"/>
  <c r="B56" i="3"/>
  <c r="K55" i="3"/>
  <c r="J55" i="3"/>
  <c r="I55" i="3"/>
  <c r="H55" i="3"/>
  <c r="G55" i="3"/>
  <c r="F55" i="3"/>
  <c r="E55" i="3"/>
  <c r="D55" i="3"/>
  <c r="C55" i="3"/>
  <c r="B55" i="3"/>
  <c r="K54" i="3"/>
  <c r="J54" i="3"/>
  <c r="I54" i="3"/>
  <c r="H54" i="3"/>
  <c r="G54" i="3"/>
  <c r="F54" i="3"/>
  <c r="E54" i="3"/>
  <c r="D54" i="3"/>
  <c r="C54" i="3"/>
  <c r="B54" i="3"/>
  <c r="K53" i="3"/>
  <c r="J53" i="3"/>
  <c r="I53" i="3"/>
  <c r="H53" i="3"/>
  <c r="G53" i="3"/>
  <c r="F53" i="3"/>
  <c r="E53" i="3"/>
  <c r="D53" i="3"/>
  <c r="C53" i="3"/>
  <c r="B53" i="3"/>
  <c r="K52" i="3"/>
  <c r="J52" i="3"/>
  <c r="I52" i="3"/>
  <c r="H52" i="3"/>
  <c r="G52" i="3"/>
  <c r="F52" i="3"/>
  <c r="E52" i="3"/>
  <c r="D52" i="3"/>
  <c r="C52" i="3"/>
  <c r="B52" i="3"/>
  <c r="K51" i="3"/>
  <c r="J51" i="3"/>
  <c r="I51" i="3"/>
  <c r="H51" i="3"/>
  <c r="G51" i="3"/>
  <c r="F51" i="3"/>
  <c r="E51" i="3"/>
  <c r="D51" i="3"/>
  <c r="C51" i="3"/>
  <c r="B51" i="3"/>
  <c r="K50" i="3"/>
  <c r="J50" i="3"/>
  <c r="I50" i="3"/>
  <c r="H50" i="3"/>
  <c r="G50" i="3"/>
  <c r="F50" i="3"/>
  <c r="E50" i="3"/>
  <c r="D50" i="3"/>
  <c r="C50" i="3"/>
  <c r="B50" i="3"/>
  <c r="K49" i="3"/>
  <c r="J49" i="3"/>
  <c r="I49" i="3"/>
  <c r="H49" i="3"/>
  <c r="G49" i="3"/>
  <c r="F49" i="3"/>
  <c r="E49" i="3"/>
  <c r="D49" i="3"/>
  <c r="C49" i="3"/>
  <c r="B49" i="3"/>
  <c r="K48" i="3"/>
  <c r="J48" i="3"/>
  <c r="I48" i="3"/>
  <c r="H48" i="3"/>
  <c r="G48" i="3"/>
  <c r="F48" i="3"/>
  <c r="E48" i="3"/>
  <c r="D48" i="3"/>
  <c r="C48" i="3"/>
  <c r="B48" i="3"/>
  <c r="K47" i="3"/>
  <c r="J47" i="3"/>
  <c r="I47" i="3"/>
  <c r="H47" i="3"/>
  <c r="G47" i="3"/>
  <c r="F47" i="3"/>
  <c r="E47" i="3"/>
  <c r="D47" i="3"/>
  <c r="C47" i="3"/>
  <c r="B47" i="3"/>
  <c r="K46" i="3"/>
  <c r="J46" i="3"/>
  <c r="I46" i="3"/>
  <c r="H46" i="3"/>
  <c r="G46" i="3"/>
  <c r="F46" i="3"/>
  <c r="E46" i="3"/>
  <c r="D46" i="3"/>
  <c r="C46" i="3"/>
  <c r="B46" i="3"/>
  <c r="K45" i="3"/>
  <c r="J45" i="3"/>
  <c r="I45" i="3"/>
  <c r="H45" i="3"/>
  <c r="G45" i="3"/>
  <c r="F45" i="3"/>
  <c r="E45" i="3"/>
  <c r="D45" i="3"/>
  <c r="C45" i="3"/>
  <c r="B45" i="3"/>
  <c r="K44" i="3"/>
  <c r="J44" i="3"/>
  <c r="I44" i="3"/>
  <c r="H44" i="3"/>
  <c r="G44" i="3"/>
  <c r="F44" i="3"/>
  <c r="E44" i="3"/>
  <c r="D44" i="3"/>
  <c r="C44" i="3"/>
  <c r="B44" i="3"/>
  <c r="K43" i="3"/>
  <c r="J43" i="3"/>
  <c r="I43" i="3"/>
  <c r="H43" i="3"/>
  <c r="G43" i="3"/>
  <c r="F43" i="3"/>
  <c r="E43" i="3"/>
  <c r="D43" i="3"/>
  <c r="C43" i="3"/>
  <c r="B43" i="3"/>
  <c r="K42" i="3"/>
  <c r="J42" i="3"/>
  <c r="I42" i="3"/>
  <c r="H42" i="3"/>
  <c r="G42" i="3"/>
  <c r="F42" i="3"/>
  <c r="E42" i="3"/>
  <c r="D42" i="3"/>
  <c r="C42" i="3"/>
  <c r="B42" i="3"/>
  <c r="K41" i="3"/>
  <c r="J41" i="3"/>
  <c r="I41" i="3"/>
  <c r="H41" i="3"/>
  <c r="G41" i="3"/>
  <c r="F41" i="3"/>
  <c r="E41" i="3"/>
  <c r="D41" i="3"/>
  <c r="C41" i="3"/>
  <c r="B41" i="3"/>
  <c r="K40" i="3"/>
  <c r="J40" i="3"/>
  <c r="I40" i="3"/>
  <c r="H40" i="3"/>
  <c r="G40" i="3"/>
  <c r="F40" i="3"/>
  <c r="E40" i="3"/>
  <c r="D40" i="3"/>
  <c r="C40" i="3"/>
  <c r="B40" i="3"/>
  <c r="K39" i="3"/>
  <c r="J39" i="3"/>
  <c r="I39" i="3"/>
  <c r="H39" i="3"/>
  <c r="G39" i="3"/>
  <c r="F39" i="3"/>
  <c r="E39" i="3"/>
  <c r="D39" i="3"/>
  <c r="C39" i="3"/>
  <c r="B39" i="3"/>
  <c r="K38" i="3"/>
  <c r="J38" i="3"/>
  <c r="I38" i="3"/>
  <c r="H38" i="3"/>
  <c r="G38" i="3"/>
  <c r="F38" i="3"/>
  <c r="E38" i="3"/>
  <c r="D38" i="3"/>
  <c r="C38" i="3"/>
  <c r="B38" i="3"/>
  <c r="K37" i="3"/>
  <c r="J37" i="3"/>
  <c r="I37" i="3"/>
  <c r="H37" i="3"/>
  <c r="G37" i="3"/>
  <c r="F37" i="3"/>
  <c r="E37" i="3"/>
  <c r="D37" i="3"/>
  <c r="C37" i="3"/>
  <c r="B37" i="3"/>
  <c r="K36" i="3"/>
  <c r="J36" i="3"/>
  <c r="I36" i="3"/>
  <c r="H36" i="3"/>
  <c r="G36" i="3"/>
  <c r="F36" i="3"/>
  <c r="E36" i="3"/>
  <c r="D36" i="3"/>
  <c r="C36" i="3"/>
  <c r="B36" i="3"/>
  <c r="K35" i="3"/>
  <c r="J35" i="3"/>
  <c r="I35" i="3"/>
  <c r="H35" i="3"/>
  <c r="G35" i="3"/>
  <c r="F35" i="3"/>
  <c r="E35" i="3"/>
  <c r="D35" i="3"/>
  <c r="C35" i="3"/>
  <c r="B35" i="3"/>
  <c r="K34" i="3"/>
  <c r="J34" i="3"/>
  <c r="I34" i="3"/>
  <c r="H34" i="3"/>
  <c r="G34" i="3"/>
  <c r="F34" i="3"/>
  <c r="E34" i="3"/>
  <c r="D34" i="3"/>
  <c r="C34" i="3"/>
  <c r="B34" i="3"/>
  <c r="K33" i="3"/>
  <c r="J33" i="3"/>
  <c r="I33" i="3"/>
  <c r="H33" i="3"/>
  <c r="G33" i="3"/>
  <c r="F33" i="3"/>
  <c r="E33" i="3"/>
  <c r="D33" i="3"/>
  <c r="C33" i="3"/>
  <c r="B33" i="3"/>
  <c r="K32" i="3"/>
  <c r="J32" i="3"/>
  <c r="I32" i="3"/>
  <c r="H32" i="3"/>
  <c r="G32" i="3"/>
  <c r="F32" i="3"/>
  <c r="E32" i="3"/>
  <c r="D32" i="3"/>
  <c r="C32" i="3"/>
  <c r="B32" i="3"/>
  <c r="K31" i="3"/>
  <c r="J31" i="3"/>
  <c r="I31" i="3"/>
  <c r="H31" i="3"/>
  <c r="G31" i="3"/>
  <c r="F31" i="3"/>
  <c r="E31" i="3"/>
  <c r="D31" i="3"/>
  <c r="C31" i="3"/>
  <c r="B31" i="3"/>
  <c r="K30" i="3"/>
  <c r="J30" i="3"/>
  <c r="I30" i="3"/>
  <c r="H30" i="3"/>
  <c r="G30" i="3"/>
  <c r="F30" i="3"/>
  <c r="E30" i="3"/>
  <c r="D30" i="3"/>
  <c r="C30" i="3"/>
  <c r="B30" i="3"/>
  <c r="K29" i="3"/>
  <c r="J29" i="3"/>
  <c r="I29" i="3"/>
  <c r="H29" i="3"/>
  <c r="G29" i="3"/>
  <c r="F29" i="3"/>
  <c r="E29" i="3"/>
  <c r="D29" i="3"/>
  <c r="C29" i="3"/>
  <c r="B29" i="3"/>
  <c r="K28" i="3"/>
  <c r="J28" i="3"/>
  <c r="I28" i="3"/>
  <c r="H28" i="3"/>
  <c r="G28" i="3"/>
  <c r="F28" i="3"/>
  <c r="E28" i="3"/>
  <c r="D28" i="3"/>
  <c r="C28" i="3"/>
  <c r="B28" i="3"/>
  <c r="K27" i="3"/>
  <c r="J27" i="3"/>
  <c r="I27" i="3"/>
  <c r="H27" i="3"/>
  <c r="G27" i="3"/>
  <c r="F27" i="3"/>
  <c r="E27" i="3"/>
  <c r="D27" i="3"/>
  <c r="C27" i="3"/>
  <c r="B27" i="3"/>
  <c r="K26" i="3"/>
  <c r="J26" i="3"/>
  <c r="I26" i="3"/>
  <c r="H26" i="3"/>
  <c r="G26" i="3"/>
  <c r="F26" i="3"/>
  <c r="E26" i="3"/>
  <c r="D26" i="3"/>
  <c r="C26" i="3"/>
  <c r="B26" i="3"/>
  <c r="K25" i="3"/>
  <c r="J25" i="3"/>
  <c r="I25" i="3"/>
  <c r="H25" i="3"/>
  <c r="G25" i="3"/>
  <c r="F25" i="3"/>
  <c r="E25" i="3"/>
  <c r="D25" i="3"/>
  <c r="C25" i="3"/>
  <c r="B25" i="3"/>
  <c r="K24" i="3"/>
  <c r="J24" i="3"/>
  <c r="I24" i="3"/>
  <c r="H24" i="3"/>
  <c r="G24" i="3"/>
  <c r="F24" i="3"/>
  <c r="E24" i="3"/>
  <c r="D24" i="3"/>
  <c r="C24" i="3"/>
  <c r="B24" i="3"/>
  <c r="K23" i="3"/>
  <c r="J23" i="3"/>
  <c r="I23" i="3"/>
  <c r="H23" i="3"/>
  <c r="G23" i="3"/>
  <c r="F23" i="3"/>
  <c r="E23" i="3"/>
  <c r="D23" i="3"/>
  <c r="C23" i="3"/>
  <c r="B23" i="3"/>
  <c r="K22" i="3"/>
  <c r="J22" i="3"/>
  <c r="I22" i="3"/>
  <c r="H22" i="3"/>
  <c r="G22" i="3"/>
  <c r="F22" i="3"/>
  <c r="E22" i="3"/>
  <c r="D22" i="3"/>
  <c r="C22" i="3"/>
  <c r="B22" i="3"/>
  <c r="K21" i="3"/>
  <c r="J21" i="3"/>
  <c r="I21" i="3"/>
  <c r="H21" i="3"/>
  <c r="G21" i="3"/>
  <c r="F21" i="3"/>
  <c r="E21" i="3"/>
  <c r="D21" i="3"/>
  <c r="C21" i="3"/>
  <c r="B21" i="3"/>
  <c r="K20" i="3"/>
  <c r="J20" i="3"/>
  <c r="I20" i="3"/>
  <c r="H20" i="3"/>
  <c r="G20" i="3"/>
  <c r="F20" i="3"/>
  <c r="E20" i="3"/>
  <c r="D20" i="3"/>
  <c r="C20" i="3"/>
  <c r="B20" i="3"/>
  <c r="K19" i="3"/>
  <c r="J19" i="3"/>
  <c r="I19" i="3"/>
  <c r="H19" i="3"/>
  <c r="G19" i="3"/>
  <c r="F19" i="3"/>
  <c r="E19" i="3"/>
  <c r="D19" i="3"/>
  <c r="C19" i="3"/>
  <c r="B19" i="3"/>
  <c r="K18" i="3"/>
  <c r="J18" i="3"/>
  <c r="I18" i="3"/>
  <c r="H18" i="3"/>
  <c r="G18" i="3"/>
  <c r="F18" i="3"/>
  <c r="E18" i="3"/>
  <c r="D18" i="3"/>
  <c r="C18" i="3"/>
  <c r="B18" i="3"/>
  <c r="K17" i="3"/>
  <c r="J17" i="3"/>
  <c r="I17" i="3"/>
  <c r="H17" i="3"/>
  <c r="G17" i="3"/>
  <c r="F17" i="3"/>
  <c r="E17" i="3"/>
  <c r="D17" i="3"/>
  <c r="C17" i="3"/>
  <c r="B17" i="3"/>
  <c r="K16" i="3"/>
  <c r="J16" i="3"/>
  <c r="I16" i="3"/>
  <c r="H16" i="3"/>
  <c r="G16" i="3"/>
  <c r="F16" i="3"/>
  <c r="E16" i="3"/>
  <c r="D16" i="3"/>
  <c r="C16" i="3"/>
  <c r="B16" i="3"/>
  <c r="K15" i="3"/>
  <c r="J15" i="3"/>
  <c r="I15" i="3"/>
  <c r="H15" i="3"/>
  <c r="G15" i="3"/>
  <c r="F15" i="3"/>
  <c r="E15" i="3"/>
  <c r="D15" i="3"/>
  <c r="C15" i="3"/>
  <c r="B15" i="3"/>
  <c r="K14" i="3"/>
  <c r="J14" i="3"/>
  <c r="I14" i="3"/>
  <c r="H14" i="3"/>
  <c r="G14" i="3"/>
  <c r="F14" i="3"/>
  <c r="E14" i="3"/>
  <c r="D14" i="3"/>
  <c r="C14" i="3"/>
  <c r="B14" i="3"/>
  <c r="K13" i="3"/>
  <c r="J13" i="3"/>
  <c r="I13" i="3"/>
  <c r="H13" i="3"/>
  <c r="G13" i="3"/>
  <c r="F13" i="3"/>
  <c r="E13" i="3"/>
  <c r="D13" i="3"/>
  <c r="C13" i="3"/>
  <c r="B13" i="3"/>
  <c r="K12" i="3"/>
  <c r="J12" i="3"/>
  <c r="I12" i="3"/>
  <c r="H12" i="3"/>
  <c r="G12" i="3"/>
  <c r="F12" i="3"/>
  <c r="E12" i="3"/>
  <c r="D12" i="3"/>
  <c r="C12" i="3"/>
  <c r="B12" i="3"/>
  <c r="K11" i="3"/>
  <c r="J11" i="3"/>
  <c r="I11" i="3"/>
  <c r="H11" i="3"/>
  <c r="G11" i="3"/>
  <c r="F11" i="3"/>
  <c r="E11" i="3"/>
  <c r="D11" i="3"/>
  <c r="C11" i="3"/>
  <c r="B11" i="3"/>
  <c r="K10" i="3"/>
  <c r="J10" i="3"/>
  <c r="I10" i="3"/>
  <c r="H10" i="3"/>
  <c r="G10" i="3"/>
  <c r="F10" i="3"/>
  <c r="E10" i="3"/>
  <c r="D10" i="3"/>
  <c r="C10" i="3"/>
  <c r="B10" i="3"/>
  <c r="K9" i="3"/>
  <c r="J9" i="3"/>
  <c r="I9" i="3"/>
  <c r="H9" i="3"/>
  <c r="G9" i="3"/>
  <c r="F9" i="3"/>
  <c r="E9" i="3"/>
  <c r="D9" i="3"/>
  <c r="C9" i="3"/>
  <c r="B9" i="3"/>
  <c r="K8" i="3"/>
  <c r="J8" i="3"/>
  <c r="I8" i="3"/>
  <c r="H8" i="3"/>
  <c r="G8" i="3"/>
  <c r="F8" i="3"/>
  <c r="E8" i="3"/>
  <c r="D8" i="3"/>
  <c r="C8" i="3"/>
  <c r="B8" i="3"/>
  <c r="K7" i="3"/>
  <c r="J7" i="3"/>
  <c r="I7" i="3"/>
  <c r="H7" i="3"/>
  <c r="G7" i="3"/>
  <c r="F7" i="3"/>
  <c r="E7" i="3"/>
  <c r="D7" i="3"/>
  <c r="C7" i="3"/>
  <c r="B7" i="3"/>
  <c r="K6" i="3"/>
  <c r="J6" i="3"/>
  <c r="I6" i="3"/>
  <c r="H6" i="3"/>
  <c r="G6" i="3"/>
  <c r="F6" i="3"/>
  <c r="E6" i="3"/>
  <c r="D6" i="3"/>
  <c r="C6" i="3"/>
  <c r="B6" i="3"/>
  <c r="K5" i="3"/>
  <c r="J5" i="3"/>
  <c r="D61" i="3" s="1"/>
  <c r="I5" i="3"/>
  <c r="H5" i="3"/>
  <c r="G5" i="3"/>
  <c r="F5" i="3"/>
  <c r="E5" i="3"/>
  <c r="D5" i="3"/>
  <c r="C5" i="3"/>
  <c r="B5" i="3"/>
  <c r="D62" i="3" s="1"/>
  <c r="K4" i="3"/>
  <c r="J4" i="3"/>
  <c r="I4" i="3"/>
  <c r="D64" i="3" s="1"/>
  <c r="H4" i="3"/>
  <c r="G4" i="3"/>
  <c r="F4" i="3"/>
  <c r="E4" i="3"/>
  <c r="D66" i="3" s="1"/>
  <c r="D4" i="3"/>
  <c r="C4" i="3"/>
  <c r="D65" i="3" s="1"/>
  <c r="B4" i="3"/>
  <c r="D63" i="3" l="1"/>
</calcChain>
</file>

<file path=xl/sharedStrings.xml><?xml version="1.0" encoding="utf-8"?>
<sst xmlns="http://schemas.openxmlformats.org/spreadsheetml/2006/main" count="88" uniqueCount="77">
  <si>
    <t>Figure 1 — regenerated from the Data sheet (edit Inputs to update)</t>
  </si>
  <si>
    <t>Scaling laws: computing time of the three control layers vs N — inputs</t>
  </si>
  <si>
    <t>Blue cells are inputs. Each curve is C(N)/f_CPU with C(N) = a·N² + b·N·log2(N) + c·N + d (cycles). Defaults = cost laws of the report (§2.2).</t>
  </si>
  <si>
    <t>Symbol</t>
  </si>
  <si>
    <t>Meaning</t>
  </si>
  <si>
    <t>Value</t>
  </si>
  <si>
    <t>Unit</t>
  </si>
  <si>
    <t>f_CPU</t>
  </si>
  <si>
    <t>STM32G474 clock</t>
  </si>
  <si>
    <t>Hz</t>
  </si>
  <si>
    <t>f0</t>
  </si>
  <si>
    <t>grid frequency</t>
  </si>
  <si>
    <t>T1_10k</t>
  </si>
  <si>
    <t>Ts budget at 10 kHz</t>
  </si>
  <si>
    <t>µs</t>
  </si>
  <si>
    <t>T1_20k</t>
  </si>
  <si>
    <t>Ts budget at 20 kHz</t>
  </si>
  <si>
    <t>N_min</t>
  </si>
  <si>
    <t>first N of the sweep</t>
  </si>
  <si>
    <t>-</t>
  </si>
  <si>
    <t>N_max</t>
  </si>
  <si>
    <t>last N of the sweep</t>
  </si>
  <si>
    <t>Curve coefficients — C(N) = a·N² + b·N·log2N + c·N + d  [cycles per control period]</t>
  </si>
  <si>
    <t>Curve</t>
  </si>
  <si>
    <t>Complexity</t>
  </si>
  <si>
    <t>a (N²)</t>
  </si>
  <si>
    <t>b (N·log2N)</t>
  </si>
  <si>
    <t>c (N)</t>
  </si>
  <si>
    <t>d (const)</t>
  </si>
  <si>
    <t>Colour / style in the figure</t>
  </si>
  <si>
    <t>Note</t>
  </si>
  <si>
    <t>T1 CVB: full sort</t>
  </si>
  <si>
    <t>O(N²)</t>
  </si>
  <si>
    <t>red, solid</t>
  </si>
  <si>
    <t>bubble, both arms: c_CS·N(N−1) + 2·c_SEL·N + C0</t>
  </si>
  <si>
    <t>T1 CVB: merge-class</t>
  </si>
  <si>
    <t>O(N log N)</t>
  </si>
  <si>
    <t>red, dashed</t>
  </si>
  <si>
    <t>40·N·log2N + 10N + 50</t>
  </si>
  <si>
    <t>T1 CVB: min/max under ±1-module rule</t>
  </si>
  <si>
    <t>O(N)</t>
  </si>
  <si>
    <t>red, dash-dot</t>
  </si>
  <si>
    <t>200 + 6N</t>
  </si>
  <si>
    <t>T2 Energy (centralized mean)</t>
  </si>
  <si>
    <t>blue, solid</t>
  </si>
  <si>
    <t>200 + 19N (mean and ΣE over N)</t>
  </si>
  <si>
    <t>T3 Grid dq outer</t>
  </si>
  <si>
    <t>O(1)</t>
  </si>
  <si>
    <t>green, solid</t>
  </si>
  <si>
    <t>2 SOGI, PLL, dq PI, power loop</t>
  </si>
  <si>
    <t>T1 CVB decentralized consensus (per node)</t>
  </si>
  <si>
    <t>red, dotted</t>
  </si>
  <si>
    <t>report v6: 970 (figure of the report drawn with an earlier ≈ 90-cycle estimate)</t>
  </si>
  <si>
    <t>T2 Energy decentralized 3-point (per node)</t>
  </si>
  <si>
    <t>blue, dotted</t>
  </si>
  <si>
    <t>report v6: 220 (earlier figure ≈ 60)</t>
  </si>
  <si>
    <t>Ts required by ±1 rule: Ts = 1/(4·N·f0) — MMC constraint O(N), magenta solid (no coefficients)</t>
  </si>
  <si>
    <t>Computing time per control period [µs] = C(N)/f_CPU — all columns are formulas on the Inputs sheet</t>
  </si>
  <si>
    <t>N</t>
  </si>
  <si>
    <t>T1 CVB: full sort O(N²)</t>
  </si>
  <si>
    <t>T1 CVB: merge-class O(N log N)</t>
  </si>
  <si>
    <t>T1 CVB: min/max ±1 rule O(N)</t>
  </si>
  <si>
    <t>T2 Energy centralized mean O(N)</t>
  </si>
  <si>
    <t>T3 Grid dq outer O(1)</t>
  </si>
  <si>
    <t>T1 CVB decentralized consensus O(1)</t>
  </si>
  <si>
    <t>T2 Energy decentralized 3-point O(1)</t>
  </si>
  <si>
    <t>Ts required by ±1 rule 1/(4·N·f0)</t>
  </si>
  <si>
    <t>Ts budget @10 kHz</t>
  </si>
  <si>
    <t>Ts budget @20 kHz</t>
  </si>
  <si>
    <t>Crossings (largest N of the sweep with curve ≤ budget)</t>
  </si>
  <si>
    <t>Full sort ≤ 100 µs</t>
  </si>
  <si>
    <t>N (sweep resolution)</t>
  </si>
  <si>
    <t>Full sort ≤ 50 µs</t>
  </si>
  <si>
    <t>Merge-class ≤ 100 µs</t>
  </si>
  <si>
    <t>Full sort ≤ Ts(±1 rule)</t>
  </si>
  <si>
    <t>Merge-class ≤ Ts(±1 rule)</t>
  </si>
  <si>
    <t>Energy centralized ≤ Ts(±1 rule)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</si>
</sst>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"/>
    <numFmt numFmtId="165" formatCode="0.000"/>
  </numFmts>
  <fonts count="6" x14ac:knownFonts="1">
    <font>
      <sz val="11"/>
      <color theme="1"/>
      <name val="Calibri"/>
      <family val="2"/>
      <charset val="1"/>
    </font>
    <font>
      <b/>
      <sz val="10"/>
      <name val="Times New Roman"/>
      <charset val="1"/>
    </font>
    <font>
      <b/>
      <sz val="13"/>
      <name val="Times New Roman"/>
      <charset val="1"/>
    </font>
    <font>
      <i/>
      <sz val="9"/>
      <name val="Times New Roman"/>
      <charset val="1"/>
    </font>
    <font>
      <sz val="10"/>
      <name val="Times New Roman"/>
      <charset val="1"/>
    </font>
    <font>
      <sz val="10"/>
      <color rgb="FF0000FF"/>
      <name val="Times New Roman"/>
      <charset val="1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D9D9D9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1" xfId="0" applyFont="1" applyBorder="1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2" borderId="1" xfId="0" applyFont="1" applyFill="1" applyBorder="1"/>
    <xf numFmtId="0" fontId="1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164" fontId="5" fillId="3" borderId="1" xfId="0" applyNumberFormat="1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4" fillId="0" borderId="0" xfId="0" applyFont="1"/>
    <xf numFmtId="165" fontId="4" fillId="0" borderId="1" xfId="0" applyNumberFormat="1" applyFont="1" applyBorder="1" applyAlignment="1">
      <alignment vertical="top" wrapText="1"/>
    </xf>
    <xf numFmtId="2" fontId="4" fillId="0" borderId="1" xfId="0" applyNumberFormat="1" applyFont="1" applyBorder="1" applyAlignment="1">
      <alignment vertical="top" wrapText="1"/>
    </xf>
    <xf numFmtId="1" fontId="4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BB00BB"/>
      <rgbColor rgb="FF008080"/>
      <rgbColor rgb="FFC0C0C0"/>
      <rgbColor rgb="FF878787"/>
      <rgbColor rgb="FF9999FF"/>
      <rgbColor rgb="FF993366"/>
      <rgbColor rgb="FFFFF2CC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Scaling laws: computing time of the three control layers vs 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T1 CVB: full sort O(N²)</c:v>
          </c:tx>
          <c:spPr>
            <a:ln w="248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Data!$A$4:$A$58</c:f>
              <c:numCache>
                <c:formatCode>General</c:formatCode>
                <c:ptCount val="55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22</c:v>
                </c:pt>
                <c:pt idx="17">
                  <c:v>23</c:v>
                </c:pt>
                <c:pt idx="18">
                  <c:v>25</c:v>
                </c:pt>
                <c:pt idx="19">
                  <c:v>27</c:v>
                </c:pt>
                <c:pt idx="20">
                  <c:v>29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36</c:v>
                </c:pt>
                <c:pt idx="25">
                  <c:v>38</c:v>
                </c:pt>
                <c:pt idx="26">
                  <c:v>41</c:v>
                </c:pt>
                <c:pt idx="27">
                  <c:v>44</c:v>
                </c:pt>
                <c:pt idx="28">
                  <c:v>47</c:v>
                </c:pt>
                <c:pt idx="29">
                  <c:v>51</c:v>
                </c:pt>
                <c:pt idx="30">
                  <c:v>54</c:v>
                </c:pt>
                <c:pt idx="31">
                  <c:v>58</c:v>
                </c:pt>
                <c:pt idx="32">
                  <c:v>63</c:v>
                </c:pt>
                <c:pt idx="33">
                  <c:v>64</c:v>
                </c:pt>
                <c:pt idx="34">
                  <c:v>67</c:v>
                </c:pt>
                <c:pt idx="35">
                  <c:v>72</c:v>
                </c:pt>
                <c:pt idx="36">
                  <c:v>77</c:v>
                </c:pt>
                <c:pt idx="37">
                  <c:v>83</c:v>
                </c:pt>
                <c:pt idx="38">
                  <c:v>89</c:v>
                </c:pt>
                <c:pt idx="39">
                  <c:v>95</c:v>
                </c:pt>
                <c:pt idx="40">
                  <c:v>102</c:v>
                </c:pt>
                <c:pt idx="41">
                  <c:v>110</c:v>
                </c:pt>
                <c:pt idx="42">
                  <c:v>118</c:v>
                </c:pt>
                <c:pt idx="43">
                  <c:v>127</c:v>
                </c:pt>
                <c:pt idx="44">
                  <c:v>128</c:v>
                </c:pt>
                <c:pt idx="45">
                  <c:v>136</c:v>
                </c:pt>
                <c:pt idx="46">
                  <c:v>146</c:v>
                </c:pt>
                <c:pt idx="47">
                  <c:v>156</c:v>
                </c:pt>
                <c:pt idx="48">
                  <c:v>168</c:v>
                </c:pt>
                <c:pt idx="49">
                  <c:v>180</c:v>
                </c:pt>
                <c:pt idx="50">
                  <c:v>193</c:v>
                </c:pt>
                <c:pt idx="51">
                  <c:v>207</c:v>
                </c:pt>
                <c:pt idx="52">
                  <c:v>222</c:v>
                </c:pt>
                <c:pt idx="53">
                  <c:v>239</c:v>
                </c:pt>
                <c:pt idx="54">
                  <c:v>256</c:v>
                </c:pt>
              </c:numCache>
            </c:numRef>
          </c:xVal>
          <c:yVal>
            <c:numRef>
              <c:f>Data!$B$4:$B$58</c:f>
              <c:numCache>
                <c:formatCode>0.000</c:formatCode>
                <c:ptCount val="55"/>
                <c:pt idx="0">
                  <c:v>1.6588235294117648</c:v>
                </c:pt>
                <c:pt idx="1">
                  <c:v>2.3529411764705879</c:v>
                </c:pt>
                <c:pt idx="2">
                  <c:v>3.1882352941176473</c:v>
                </c:pt>
                <c:pt idx="3">
                  <c:v>4.1647058823529406</c:v>
                </c:pt>
                <c:pt idx="4">
                  <c:v>5.2823529411764705</c:v>
                </c:pt>
                <c:pt idx="5">
                  <c:v>6.5411764705882351</c:v>
                </c:pt>
                <c:pt idx="6">
                  <c:v>7.9411764705882346</c:v>
                </c:pt>
                <c:pt idx="7">
                  <c:v>9.4823529411764707</c:v>
                </c:pt>
                <c:pt idx="8">
                  <c:v>11.164705882352941</c:v>
                </c:pt>
                <c:pt idx="9">
                  <c:v>12.988235294117647</c:v>
                </c:pt>
                <c:pt idx="10">
                  <c:v>14.952941176470588</c:v>
                </c:pt>
                <c:pt idx="11">
                  <c:v>17.058823529411764</c:v>
                </c:pt>
                <c:pt idx="12">
                  <c:v>19.305882352941175</c:v>
                </c:pt>
                <c:pt idx="13">
                  <c:v>24.223529411764705</c:v>
                </c:pt>
                <c:pt idx="14">
                  <c:v>26.894117647058824</c:v>
                </c:pt>
                <c:pt idx="15">
                  <c:v>29.705882352941178</c:v>
                </c:pt>
                <c:pt idx="16">
                  <c:v>35.752941176470586</c:v>
                </c:pt>
                <c:pt idx="17">
                  <c:v>38.988235294117644</c:v>
                </c:pt>
                <c:pt idx="18">
                  <c:v>45.882352941176471</c:v>
                </c:pt>
                <c:pt idx="19">
                  <c:v>53.341176470588231</c:v>
                </c:pt>
                <c:pt idx="20">
                  <c:v>61.364705882352936</c:v>
                </c:pt>
                <c:pt idx="21">
                  <c:v>69.952941176470588</c:v>
                </c:pt>
                <c:pt idx="22">
                  <c:v>74.45882352941176</c:v>
                </c:pt>
                <c:pt idx="23">
                  <c:v>79.10588235294118</c:v>
                </c:pt>
                <c:pt idx="24">
                  <c:v>93.89411764705882</c:v>
                </c:pt>
                <c:pt idx="25">
                  <c:v>104.45882352941176</c:v>
                </c:pt>
                <c:pt idx="26">
                  <c:v>121.36470588235295</c:v>
                </c:pt>
                <c:pt idx="27">
                  <c:v>139.54117647058825</c:v>
                </c:pt>
                <c:pt idx="28">
                  <c:v>158.98823529411766</c:v>
                </c:pt>
                <c:pt idx="29">
                  <c:v>186.89411764705881</c:v>
                </c:pt>
                <c:pt idx="30">
                  <c:v>209.30588235294118</c:v>
                </c:pt>
                <c:pt idx="31">
                  <c:v>241.16470588235293</c:v>
                </c:pt>
                <c:pt idx="32">
                  <c:v>284.16470588235296</c:v>
                </c:pt>
                <c:pt idx="33">
                  <c:v>293.18823529411765</c:v>
                </c:pt>
                <c:pt idx="34">
                  <c:v>321.10588235294119</c:v>
                </c:pt>
                <c:pt idx="35">
                  <c:v>370.45882352941175</c:v>
                </c:pt>
                <c:pt idx="36">
                  <c:v>423.34117647058821</c:v>
                </c:pt>
                <c:pt idx="37">
                  <c:v>491.45882352941175</c:v>
                </c:pt>
                <c:pt idx="38">
                  <c:v>564.65882352941173</c:v>
                </c:pt>
                <c:pt idx="39">
                  <c:v>642.94117647058818</c:v>
                </c:pt>
                <c:pt idx="40">
                  <c:v>740.69411764705887</c:v>
                </c:pt>
                <c:pt idx="41">
                  <c:v>860.88235294117646</c:v>
                </c:pt>
                <c:pt idx="42">
                  <c:v>990.10588235294119</c:v>
                </c:pt>
                <c:pt idx="43">
                  <c:v>1146.2823529411764</c:v>
                </c:pt>
                <c:pt idx="44">
                  <c:v>1164.3411764705884</c:v>
                </c:pt>
                <c:pt idx="45">
                  <c:v>1313.8941176470589</c:v>
                </c:pt>
                <c:pt idx="46">
                  <c:v>1513.5411764705884</c:v>
                </c:pt>
                <c:pt idx="47">
                  <c:v>1727.3058823529411</c:v>
                </c:pt>
                <c:pt idx="48">
                  <c:v>2002.4588235294118</c:v>
                </c:pt>
                <c:pt idx="49">
                  <c:v>2297.9411764705883</c:v>
                </c:pt>
                <c:pt idx="50">
                  <c:v>2640.9882352941177</c:v>
                </c:pt>
                <c:pt idx="51">
                  <c:v>3037.1058823529411</c:v>
                </c:pt>
                <c:pt idx="52">
                  <c:v>3492.223529411765</c:v>
                </c:pt>
                <c:pt idx="53">
                  <c:v>4046.4235294117648</c:v>
                </c:pt>
                <c:pt idx="54">
                  <c:v>4641.4235294117652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02B-4BDC-A8A8-AA443FB6F5BE}"/>
            </c:ext>
          </c:extLst>
        </c:ser>
        <c:ser>
          <c:idx val="1"/>
          <c:order val="1"/>
          <c:tx>
            <c:v>T1 CVB: merge-class O(N log N)</c:v>
          </c:tx>
          <c:spPr>
            <a:ln w="24840">
              <a:solidFill>
                <a:srgbClr val="FF0000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Data!$A$4:$A$58</c:f>
              <c:numCache>
                <c:formatCode>General</c:formatCode>
                <c:ptCount val="55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22</c:v>
                </c:pt>
                <c:pt idx="17">
                  <c:v>23</c:v>
                </c:pt>
                <c:pt idx="18">
                  <c:v>25</c:v>
                </c:pt>
                <c:pt idx="19">
                  <c:v>27</c:v>
                </c:pt>
                <c:pt idx="20">
                  <c:v>29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36</c:v>
                </c:pt>
                <c:pt idx="25">
                  <c:v>38</c:v>
                </c:pt>
                <c:pt idx="26">
                  <c:v>41</c:v>
                </c:pt>
                <c:pt idx="27">
                  <c:v>44</c:v>
                </c:pt>
                <c:pt idx="28">
                  <c:v>47</c:v>
                </c:pt>
                <c:pt idx="29">
                  <c:v>51</c:v>
                </c:pt>
                <c:pt idx="30">
                  <c:v>54</c:v>
                </c:pt>
                <c:pt idx="31">
                  <c:v>58</c:v>
                </c:pt>
                <c:pt idx="32">
                  <c:v>63</c:v>
                </c:pt>
                <c:pt idx="33">
                  <c:v>64</c:v>
                </c:pt>
                <c:pt idx="34">
                  <c:v>67</c:v>
                </c:pt>
                <c:pt idx="35">
                  <c:v>72</c:v>
                </c:pt>
                <c:pt idx="36">
                  <c:v>77</c:v>
                </c:pt>
                <c:pt idx="37">
                  <c:v>83</c:v>
                </c:pt>
                <c:pt idx="38">
                  <c:v>89</c:v>
                </c:pt>
                <c:pt idx="39">
                  <c:v>95</c:v>
                </c:pt>
                <c:pt idx="40">
                  <c:v>102</c:v>
                </c:pt>
                <c:pt idx="41">
                  <c:v>110</c:v>
                </c:pt>
                <c:pt idx="42">
                  <c:v>118</c:v>
                </c:pt>
                <c:pt idx="43">
                  <c:v>127</c:v>
                </c:pt>
                <c:pt idx="44">
                  <c:v>128</c:v>
                </c:pt>
                <c:pt idx="45">
                  <c:v>136</c:v>
                </c:pt>
                <c:pt idx="46">
                  <c:v>146</c:v>
                </c:pt>
                <c:pt idx="47">
                  <c:v>156</c:v>
                </c:pt>
                <c:pt idx="48">
                  <c:v>168</c:v>
                </c:pt>
                <c:pt idx="49">
                  <c:v>180</c:v>
                </c:pt>
                <c:pt idx="50">
                  <c:v>193</c:v>
                </c:pt>
                <c:pt idx="51">
                  <c:v>207</c:v>
                </c:pt>
                <c:pt idx="52">
                  <c:v>222</c:v>
                </c:pt>
                <c:pt idx="53">
                  <c:v>239</c:v>
                </c:pt>
                <c:pt idx="54">
                  <c:v>256</c:v>
                </c:pt>
              </c:numCache>
            </c:numRef>
          </c:xVal>
          <c:yVal>
            <c:numRef>
              <c:f>Data!$C$4:$C$58</c:f>
              <c:numCache>
                <c:formatCode>0.000</c:formatCode>
                <c:ptCount val="55"/>
                <c:pt idx="0">
                  <c:v>2.4117647058823533</c:v>
                </c:pt>
                <c:pt idx="1">
                  <c:v>3.3199154057498377</c:v>
                </c:pt>
                <c:pt idx="2">
                  <c:v>4.2964176480769263</c:v>
                </c:pt>
                <c:pt idx="3">
                  <c:v>5.3297610480948769</c:v>
                </c:pt>
                <c:pt idx="4">
                  <c:v>6.4117647058823533</c:v>
                </c:pt>
                <c:pt idx="5">
                  <c:v>7.5363117677601918</c:v>
                </c:pt>
                <c:pt idx="6">
                  <c:v>8.6986543409114407</c:v>
                </c:pt>
                <c:pt idx="7">
                  <c:v>9.89499948353183</c:v>
                </c:pt>
                <c:pt idx="8">
                  <c:v>11.122247060859737</c:v>
                </c:pt>
                <c:pt idx="9">
                  <c:v>12.377815608431577</c:v>
                </c:pt>
                <c:pt idx="10">
                  <c:v>13.659522096189754</c:v>
                </c:pt>
                <c:pt idx="11">
                  <c:v>14.965496219794773</c:v>
                </c:pt>
                <c:pt idx="12">
                  <c:v>16.294117647058822</c:v>
                </c:pt>
                <c:pt idx="13">
                  <c:v>19.013800006108617</c:v>
                </c:pt>
                <c:pt idx="14">
                  <c:v>20.40249947186544</c:v>
                </c:pt>
                <c:pt idx="15">
                  <c:v>21.809073387705237</c:v>
                </c:pt>
                <c:pt idx="16">
                  <c:v>24.672351908240124</c:v>
                </c:pt>
                <c:pt idx="17">
                  <c:v>26.127511762190892</c:v>
                </c:pt>
                <c:pt idx="18">
                  <c:v>29.081506998674847</c:v>
                </c:pt>
                <c:pt idx="19">
                  <c:v>32.089873543156159</c:v>
                </c:pt>
                <c:pt idx="20">
                  <c:v>35.148576202046968</c:v>
                </c:pt>
                <c:pt idx="21">
                  <c:v>38.254137793410159</c:v>
                </c:pt>
                <c:pt idx="22">
                  <c:v>39.823529411764703</c:v>
                </c:pt>
                <c:pt idx="23">
                  <c:v>41.403530809136235</c:v>
                </c:pt>
                <c:pt idx="24">
                  <c:v>46.204070600452525</c:v>
                </c:pt>
                <c:pt idx="25">
                  <c:v>49.452057767260293</c:v>
                </c:pt>
                <c:pt idx="26">
                  <c:v>54.390501691609749</c:v>
                </c:pt>
                <c:pt idx="27">
                  <c:v>59.403527345892016</c:v>
                </c:pt>
                <c:pt idx="28">
                  <c:v>64.486041418552702</c:v>
                </c:pt>
                <c:pt idx="29">
                  <c:v>71.363221750716775</c:v>
                </c:pt>
                <c:pt idx="30">
                  <c:v>76.591511792194666</c:v>
                </c:pt>
                <c:pt idx="31">
                  <c:v>83.650093580564501</c:v>
                </c:pt>
                <c:pt idx="32">
                  <c:v>92.604384748351706</c:v>
                </c:pt>
                <c:pt idx="33">
                  <c:v>94.411764705882362</c:v>
                </c:pt>
                <c:pt idx="34">
                  <c:v>99.865406061334298</c:v>
                </c:pt>
                <c:pt idx="35">
                  <c:v>109.05520002443448</c:v>
                </c:pt>
                <c:pt idx="36">
                  <c:v>118.36295614906057</c:v>
                </c:pt>
                <c:pt idx="37">
                  <c:v>129.67724065924585</c:v>
                </c:pt>
                <c:pt idx="38">
                  <c:v>141.13888831906101</c:v>
                </c:pt>
                <c:pt idx="39">
                  <c:v>152.73794889210356</c:v>
                </c:pt>
                <c:pt idx="40">
                  <c:v>166.43232585437471</c:v>
                </c:pt>
                <c:pt idx="41">
                  <c:v>182.28225140887358</c:v>
                </c:pt>
                <c:pt idx="42">
                  <c:v>198.32985407639936</c:v>
                </c:pt>
                <c:pt idx="43">
                  <c:v>216.60304828707416</c:v>
                </c:pt>
                <c:pt idx="44">
                  <c:v>218.64705882352942</c:v>
                </c:pt>
                <c:pt idx="45">
                  <c:v>235.09292856706969</c:v>
                </c:pt>
                <c:pt idx="46">
                  <c:v>255.87397308152529</c:v>
                </c:pt>
                <c:pt idx="47">
                  <c:v>276.88770497470841</c:v>
                </c:pt>
                <c:pt idx="48">
                  <c:v>302.39042988866629</c:v>
                </c:pt>
                <c:pt idx="49">
                  <c:v>328.18436643278619</c:v>
                </c:pt>
                <c:pt idx="50">
                  <c:v>356.43393133946813</c:v>
                </c:pt>
                <c:pt idx="51">
                  <c:v>387.18865887114362</c:v>
                </c:pt>
                <c:pt idx="52">
                  <c:v>420.49654643052321</c:v>
                </c:pt>
                <c:pt idx="53">
                  <c:v>458.66050990762329</c:v>
                </c:pt>
                <c:pt idx="54">
                  <c:v>497.23529411764707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02B-4BDC-A8A8-AA443FB6F5BE}"/>
            </c:ext>
          </c:extLst>
        </c:ser>
        <c:ser>
          <c:idx val="2"/>
          <c:order val="2"/>
          <c:tx>
            <c:v>T1 CVB: min/max ±1 rule O(N)</c:v>
          </c:tx>
          <c:spPr>
            <a:ln w="24840">
              <a:solidFill>
                <a:srgbClr val="FF0000"/>
              </a:solidFill>
              <a:prstDash val="dashDot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Data!$A$4:$A$58</c:f>
              <c:numCache>
                <c:formatCode>General</c:formatCode>
                <c:ptCount val="55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22</c:v>
                </c:pt>
                <c:pt idx="17">
                  <c:v>23</c:v>
                </c:pt>
                <c:pt idx="18">
                  <c:v>25</c:v>
                </c:pt>
                <c:pt idx="19">
                  <c:v>27</c:v>
                </c:pt>
                <c:pt idx="20">
                  <c:v>29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36</c:v>
                </c:pt>
                <c:pt idx="25">
                  <c:v>38</c:v>
                </c:pt>
                <c:pt idx="26">
                  <c:v>41</c:v>
                </c:pt>
                <c:pt idx="27">
                  <c:v>44</c:v>
                </c:pt>
                <c:pt idx="28">
                  <c:v>47</c:v>
                </c:pt>
                <c:pt idx="29">
                  <c:v>51</c:v>
                </c:pt>
                <c:pt idx="30">
                  <c:v>54</c:v>
                </c:pt>
                <c:pt idx="31">
                  <c:v>58</c:v>
                </c:pt>
                <c:pt idx="32">
                  <c:v>63</c:v>
                </c:pt>
                <c:pt idx="33">
                  <c:v>64</c:v>
                </c:pt>
                <c:pt idx="34">
                  <c:v>67</c:v>
                </c:pt>
                <c:pt idx="35">
                  <c:v>72</c:v>
                </c:pt>
                <c:pt idx="36">
                  <c:v>77</c:v>
                </c:pt>
                <c:pt idx="37">
                  <c:v>83</c:v>
                </c:pt>
                <c:pt idx="38">
                  <c:v>89</c:v>
                </c:pt>
                <c:pt idx="39">
                  <c:v>95</c:v>
                </c:pt>
                <c:pt idx="40">
                  <c:v>102</c:v>
                </c:pt>
                <c:pt idx="41">
                  <c:v>110</c:v>
                </c:pt>
                <c:pt idx="42">
                  <c:v>118</c:v>
                </c:pt>
                <c:pt idx="43">
                  <c:v>127</c:v>
                </c:pt>
                <c:pt idx="44">
                  <c:v>128</c:v>
                </c:pt>
                <c:pt idx="45">
                  <c:v>136</c:v>
                </c:pt>
                <c:pt idx="46">
                  <c:v>146</c:v>
                </c:pt>
                <c:pt idx="47">
                  <c:v>156</c:v>
                </c:pt>
                <c:pt idx="48">
                  <c:v>168</c:v>
                </c:pt>
                <c:pt idx="49">
                  <c:v>180</c:v>
                </c:pt>
                <c:pt idx="50">
                  <c:v>193</c:v>
                </c:pt>
                <c:pt idx="51">
                  <c:v>207</c:v>
                </c:pt>
                <c:pt idx="52">
                  <c:v>222</c:v>
                </c:pt>
                <c:pt idx="53">
                  <c:v>239</c:v>
                </c:pt>
                <c:pt idx="54">
                  <c:v>256</c:v>
                </c:pt>
              </c:numCache>
            </c:numRef>
          </c:xVal>
          <c:yVal>
            <c:numRef>
              <c:f>Data!$D$4:$D$58</c:f>
              <c:numCache>
                <c:formatCode>0.000</c:formatCode>
                <c:ptCount val="55"/>
                <c:pt idx="0">
                  <c:v>1.3176470588235294</c:v>
                </c:pt>
                <c:pt idx="1">
                  <c:v>1.3529411764705883</c:v>
                </c:pt>
                <c:pt idx="2">
                  <c:v>1.388235294117647</c:v>
                </c:pt>
                <c:pt idx="3">
                  <c:v>1.4235294117647059</c:v>
                </c:pt>
                <c:pt idx="4">
                  <c:v>1.4588235294117649</c:v>
                </c:pt>
                <c:pt idx="5">
                  <c:v>1.4941176470588236</c:v>
                </c:pt>
                <c:pt idx="6">
                  <c:v>1.5294117647058822</c:v>
                </c:pt>
                <c:pt idx="7">
                  <c:v>1.5647058823529412</c:v>
                </c:pt>
                <c:pt idx="8">
                  <c:v>1.5999999999999999</c:v>
                </c:pt>
                <c:pt idx="9">
                  <c:v>1.6352941176470588</c:v>
                </c:pt>
                <c:pt idx="10">
                  <c:v>1.6705882352941177</c:v>
                </c:pt>
                <c:pt idx="11">
                  <c:v>1.7058823529411764</c:v>
                </c:pt>
                <c:pt idx="12">
                  <c:v>1.7411764705882353</c:v>
                </c:pt>
                <c:pt idx="13">
                  <c:v>1.8117647058823529</c:v>
                </c:pt>
                <c:pt idx="14">
                  <c:v>1.8470588235294119</c:v>
                </c:pt>
                <c:pt idx="15">
                  <c:v>1.8823529411764708</c:v>
                </c:pt>
                <c:pt idx="16">
                  <c:v>1.952941176470588</c:v>
                </c:pt>
                <c:pt idx="17">
                  <c:v>1.9882352941176471</c:v>
                </c:pt>
                <c:pt idx="18">
                  <c:v>2.0588235294117645</c:v>
                </c:pt>
                <c:pt idx="19">
                  <c:v>2.1294117647058823</c:v>
                </c:pt>
                <c:pt idx="20">
                  <c:v>2.2000000000000002</c:v>
                </c:pt>
                <c:pt idx="21">
                  <c:v>2.2705882352941176</c:v>
                </c:pt>
                <c:pt idx="22">
                  <c:v>2.3058823529411767</c:v>
                </c:pt>
                <c:pt idx="23">
                  <c:v>2.3411764705882354</c:v>
                </c:pt>
                <c:pt idx="24">
                  <c:v>2.447058823529412</c:v>
                </c:pt>
                <c:pt idx="25">
                  <c:v>2.5176470588235293</c:v>
                </c:pt>
                <c:pt idx="26">
                  <c:v>2.6235294117647059</c:v>
                </c:pt>
                <c:pt idx="27">
                  <c:v>2.7294117647058824</c:v>
                </c:pt>
                <c:pt idx="28">
                  <c:v>2.835294117647059</c:v>
                </c:pt>
                <c:pt idx="29">
                  <c:v>2.9764705882352942</c:v>
                </c:pt>
                <c:pt idx="30">
                  <c:v>3.0823529411764707</c:v>
                </c:pt>
                <c:pt idx="31">
                  <c:v>3.223529411764706</c:v>
                </c:pt>
                <c:pt idx="32">
                  <c:v>3.4</c:v>
                </c:pt>
                <c:pt idx="33">
                  <c:v>3.4352941176470586</c:v>
                </c:pt>
                <c:pt idx="34">
                  <c:v>3.5411764705882351</c:v>
                </c:pt>
                <c:pt idx="35">
                  <c:v>3.7176470588235295</c:v>
                </c:pt>
                <c:pt idx="36">
                  <c:v>3.8941176470588239</c:v>
                </c:pt>
                <c:pt idx="37">
                  <c:v>4.105882352941177</c:v>
                </c:pt>
                <c:pt idx="38">
                  <c:v>4.3176470588235301</c:v>
                </c:pt>
                <c:pt idx="39">
                  <c:v>4.5294117647058822</c:v>
                </c:pt>
                <c:pt idx="40">
                  <c:v>4.776470588235294</c:v>
                </c:pt>
                <c:pt idx="41">
                  <c:v>5.0588235294117645</c:v>
                </c:pt>
                <c:pt idx="42">
                  <c:v>5.341176470588235</c:v>
                </c:pt>
                <c:pt idx="43">
                  <c:v>5.658823529411765</c:v>
                </c:pt>
                <c:pt idx="44">
                  <c:v>5.6941176470588237</c:v>
                </c:pt>
                <c:pt idx="45">
                  <c:v>5.9764705882352942</c:v>
                </c:pt>
                <c:pt idx="46">
                  <c:v>6.3294117647058821</c:v>
                </c:pt>
                <c:pt idx="47">
                  <c:v>6.6823529411764708</c:v>
                </c:pt>
                <c:pt idx="48">
                  <c:v>7.105882352941177</c:v>
                </c:pt>
                <c:pt idx="49">
                  <c:v>7.5294117647058831</c:v>
                </c:pt>
                <c:pt idx="50">
                  <c:v>7.9882352941176471</c:v>
                </c:pt>
                <c:pt idx="51">
                  <c:v>8.4823529411764707</c:v>
                </c:pt>
                <c:pt idx="52">
                  <c:v>9.0117647058823529</c:v>
                </c:pt>
                <c:pt idx="53">
                  <c:v>9.6117647058823543</c:v>
                </c:pt>
                <c:pt idx="54">
                  <c:v>10.211764705882352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02B-4BDC-A8A8-AA443FB6F5BE}"/>
            </c:ext>
          </c:extLst>
        </c:ser>
        <c:ser>
          <c:idx val="3"/>
          <c:order val="3"/>
          <c:tx>
            <c:v>T2 Energy centralized mean O(N)</c:v>
          </c:tx>
          <c:spPr>
            <a:ln w="24840">
              <a:solidFill>
                <a:srgbClr val="0000F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Data!$A$4:$A$58</c:f>
              <c:numCache>
                <c:formatCode>General</c:formatCode>
                <c:ptCount val="55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22</c:v>
                </c:pt>
                <c:pt idx="17">
                  <c:v>23</c:v>
                </c:pt>
                <c:pt idx="18">
                  <c:v>25</c:v>
                </c:pt>
                <c:pt idx="19">
                  <c:v>27</c:v>
                </c:pt>
                <c:pt idx="20">
                  <c:v>29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36</c:v>
                </c:pt>
                <c:pt idx="25">
                  <c:v>38</c:v>
                </c:pt>
                <c:pt idx="26">
                  <c:v>41</c:v>
                </c:pt>
                <c:pt idx="27">
                  <c:v>44</c:v>
                </c:pt>
                <c:pt idx="28">
                  <c:v>47</c:v>
                </c:pt>
                <c:pt idx="29">
                  <c:v>51</c:v>
                </c:pt>
                <c:pt idx="30">
                  <c:v>54</c:v>
                </c:pt>
                <c:pt idx="31">
                  <c:v>58</c:v>
                </c:pt>
                <c:pt idx="32">
                  <c:v>63</c:v>
                </c:pt>
                <c:pt idx="33">
                  <c:v>64</c:v>
                </c:pt>
                <c:pt idx="34">
                  <c:v>67</c:v>
                </c:pt>
                <c:pt idx="35">
                  <c:v>72</c:v>
                </c:pt>
                <c:pt idx="36">
                  <c:v>77</c:v>
                </c:pt>
                <c:pt idx="37">
                  <c:v>83</c:v>
                </c:pt>
                <c:pt idx="38">
                  <c:v>89</c:v>
                </c:pt>
                <c:pt idx="39">
                  <c:v>95</c:v>
                </c:pt>
                <c:pt idx="40">
                  <c:v>102</c:v>
                </c:pt>
                <c:pt idx="41">
                  <c:v>110</c:v>
                </c:pt>
                <c:pt idx="42">
                  <c:v>118</c:v>
                </c:pt>
                <c:pt idx="43">
                  <c:v>127</c:v>
                </c:pt>
                <c:pt idx="44">
                  <c:v>128</c:v>
                </c:pt>
                <c:pt idx="45">
                  <c:v>136</c:v>
                </c:pt>
                <c:pt idx="46">
                  <c:v>146</c:v>
                </c:pt>
                <c:pt idx="47">
                  <c:v>156</c:v>
                </c:pt>
                <c:pt idx="48">
                  <c:v>168</c:v>
                </c:pt>
                <c:pt idx="49">
                  <c:v>180</c:v>
                </c:pt>
                <c:pt idx="50">
                  <c:v>193</c:v>
                </c:pt>
                <c:pt idx="51">
                  <c:v>207</c:v>
                </c:pt>
                <c:pt idx="52">
                  <c:v>222</c:v>
                </c:pt>
                <c:pt idx="53">
                  <c:v>239</c:v>
                </c:pt>
                <c:pt idx="54">
                  <c:v>256</c:v>
                </c:pt>
              </c:numCache>
            </c:numRef>
          </c:xVal>
          <c:yVal>
            <c:numRef>
              <c:f>Data!$E$4:$E$58</c:f>
              <c:numCache>
                <c:formatCode>0.000</c:formatCode>
                <c:ptCount val="55"/>
                <c:pt idx="0">
                  <c:v>1.6235294117647059</c:v>
                </c:pt>
                <c:pt idx="1">
                  <c:v>1.7352941176470589</c:v>
                </c:pt>
                <c:pt idx="2">
                  <c:v>1.8470588235294119</c:v>
                </c:pt>
                <c:pt idx="3">
                  <c:v>1.9588235294117646</c:v>
                </c:pt>
                <c:pt idx="4">
                  <c:v>2.0705882352941178</c:v>
                </c:pt>
                <c:pt idx="5">
                  <c:v>2.1823529411764708</c:v>
                </c:pt>
                <c:pt idx="6">
                  <c:v>2.2941176470588234</c:v>
                </c:pt>
                <c:pt idx="7">
                  <c:v>2.4058823529411764</c:v>
                </c:pt>
                <c:pt idx="8">
                  <c:v>2.5176470588235293</c:v>
                </c:pt>
                <c:pt idx="9">
                  <c:v>2.6294117647058823</c:v>
                </c:pt>
                <c:pt idx="10">
                  <c:v>2.7411764705882353</c:v>
                </c:pt>
                <c:pt idx="11">
                  <c:v>2.8529411764705883</c:v>
                </c:pt>
                <c:pt idx="12">
                  <c:v>2.9647058823529409</c:v>
                </c:pt>
                <c:pt idx="13">
                  <c:v>3.1882352941176473</c:v>
                </c:pt>
                <c:pt idx="14">
                  <c:v>3.3000000000000003</c:v>
                </c:pt>
                <c:pt idx="15">
                  <c:v>3.4117647058823528</c:v>
                </c:pt>
                <c:pt idx="16">
                  <c:v>3.6352941176470588</c:v>
                </c:pt>
                <c:pt idx="17">
                  <c:v>3.7470588235294118</c:v>
                </c:pt>
                <c:pt idx="18">
                  <c:v>3.9705882352941173</c:v>
                </c:pt>
                <c:pt idx="19">
                  <c:v>4.1941176470588237</c:v>
                </c:pt>
                <c:pt idx="20">
                  <c:v>4.4176470588235297</c:v>
                </c:pt>
                <c:pt idx="21">
                  <c:v>4.6411764705882357</c:v>
                </c:pt>
                <c:pt idx="22">
                  <c:v>4.7529411764705882</c:v>
                </c:pt>
                <c:pt idx="23">
                  <c:v>4.8647058823529408</c:v>
                </c:pt>
                <c:pt idx="24">
                  <c:v>5.2</c:v>
                </c:pt>
                <c:pt idx="25">
                  <c:v>5.4235294117647053</c:v>
                </c:pt>
                <c:pt idx="26">
                  <c:v>5.7588235294117647</c:v>
                </c:pt>
                <c:pt idx="27">
                  <c:v>6.0941176470588241</c:v>
                </c:pt>
                <c:pt idx="28">
                  <c:v>6.4294117647058826</c:v>
                </c:pt>
                <c:pt idx="29">
                  <c:v>6.8764705882352946</c:v>
                </c:pt>
                <c:pt idx="30">
                  <c:v>7.2117647058823531</c:v>
                </c:pt>
                <c:pt idx="31">
                  <c:v>7.658823529411765</c:v>
                </c:pt>
                <c:pt idx="32">
                  <c:v>8.2176470588235286</c:v>
                </c:pt>
                <c:pt idx="33">
                  <c:v>8.3294117647058812</c:v>
                </c:pt>
                <c:pt idx="34">
                  <c:v>8.6647058823529406</c:v>
                </c:pt>
                <c:pt idx="35">
                  <c:v>9.2235294117647069</c:v>
                </c:pt>
                <c:pt idx="36">
                  <c:v>9.7823529411764696</c:v>
                </c:pt>
                <c:pt idx="37">
                  <c:v>10.452941176470588</c:v>
                </c:pt>
                <c:pt idx="38">
                  <c:v>11.123529411764705</c:v>
                </c:pt>
                <c:pt idx="39">
                  <c:v>11.794117647058824</c:v>
                </c:pt>
                <c:pt idx="40">
                  <c:v>12.576470588235294</c:v>
                </c:pt>
                <c:pt idx="41">
                  <c:v>13.470588235294118</c:v>
                </c:pt>
                <c:pt idx="42">
                  <c:v>14.36470588235294</c:v>
                </c:pt>
                <c:pt idx="43">
                  <c:v>15.370588235294116</c:v>
                </c:pt>
                <c:pt idx="44">
                  <c:v>15.482352941176469</c:v>
                </c:pt>
                <c:pt idx="45">
                  <c:v>16.376470588235293</c:v>
                </c:pt>
                <c:pt idx="46">
                  <c:v>17.494117647058825</c:v>
                </c:pt>
                <c:pt idx="47">
                  <c:v>18.611764705882351</c:v>
                </c:pt>
                <c:pt idx="48">
                  <c:v>19.952941176470588</c:v>
                </c:pt>
                <c:pt idx="49">
                  <c:v>21.294117647058822</c:v>
                </c:pt>
                <c:pt idx="50">
                  <c:v>22.747058823529411</c:v>
                </c:pt>
                <c:pt idx="51">
                  <c:v>24.31176470588235</c:v>
                </c:pt>
                <c:pt idx="52">
                  <c:v>25.988235294117647</c:v>
                </c:pt>
                <c:pt idx="53">
                  <c:v>27.888235294117646</c:v>
                </c:pt>
                <c:pt idx="54">
                  <c:v>29.788235294117648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02B-4BDC-A8A8-AA443FB6F5BE}"/>
            </c:ext>
          </c:extLst>
        </c:ser>
        <c:ser>
          <c:idx val="4"/>
          <c:order val="4"/>
          <c:tx>
            <c:v>T3 Grid dq outer O(1)</c:v>
          </c:tx>
          <c:spPr>
            <a:ln w="24840">
              <a:solidFill>
                <a:srgbClr val="008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Data!$A$4:$A$58</c:f>
              <c:numCache>
                <c:formatCode>General</c:formatCode>
                <c:ptCount val="55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22</c:v>
                </c:pt>
                <c:pt idx="17">
                  <c:v>23</c:v>
                </c:pt>
                <c:pt idx="18">
                  <c:v>25</c:v>
                </c:pt>
                <c:pt idx="19">
                  <c:v>27</c:v>
                </c:pt>
                <c:pt idx="20">
                  <c:v>29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36</c:v>
                </c:pt>
                <c:pt idx="25">
                  <c:v>38</c:v>
                </c:pt>
                <c:pt idx="26">
                  <c:v>41</c:v>
                </c:pt>
                <c:pt idx="27">
                  <c:v>44</c:v>
                </c:pt>
                <c:pt idx="28">
                  <c:v>47</c:v>
                </c:pt>
                <c:pt idx="29">
                  <c:v>51</c:v>
                </c:pt>
                <c:pt idx="30">
                  <c:v>54</c:v>
                </c:pt>
                <c:pt idx="31">
                  <c:v>58</c:v>
                </c:pt>
                <c:pt idx="32">
                  <c:v>63</c:v>
                </c:pt>
                <c:pt idx="33">
                  <c:v>64</c:v>
                </c:pt>
                <c:pt idx="34">
                  <c:v>67</c:v>
                </c:pt>
                <c:pt idx="35">
                  <c:v>72</c:v>
                </c:pt>
                <c:pt idx="36">
                  <c:v>77</c:v>
                </c:pt>
                <c:pt idx="37">
                  <c:v>83</c:v>
                </c:pt>
                <c:pt idx="38">
                  <c:v>89</c:v>
                </c:pt>
                <c:pt idx="39">
                  <c:v>95</c:v>
                </c:pt>
                <c:pt idx="40">
                  <c:v>102</c:v>
                </c:pt>
                <c:pt idx="41">
                  <c:v>110</c:v>
                </c:pt>
                <c:pt idx="42">
                  <c:v>118</c:v>
                </c:pt>
                <c:pt idx="43">
                  <c:v>127</c:v>
                </c:pt>
                <c:pt idx="44">
                  <c:v>128</c:v>
                </c:pt>
                <c:pt idx="45">
                  <c:v>136</c:v>
                </c:pt>
                <c:pt idx="46">
                  <c:v>146</c:v>
                </c:pt>
                <c:pt idx="47">
                  <c:v>156</c:v>
                </c:pt>
                <c:pt idx="48">
                  <c:v>168</c:v>
                </c:pt>
                <c:pt idx="49">
                  <c:v>180</c:v>
                </c:pt>
                <c:pt idx="50">
                  <c:v>193</c:v>
                </c:pt>
                <c:pt idx="51">
                  <c:v>207</c:v>
                </c:pt>
                <c:pt idx="52">
                  <c:v>222</c:v>
                </c:pt>
                <c:pt idx="53">
                  <c:v>239</c:v>
                </c:pt>
                <c:pt idx="54">
                  <c:v>256</c:v>
                </c:pt>
              </c:numCache>
            </c:numRef>
          </c:xVal>
          <c:yVal>
            <c:numRef>
              <c:f>Data!$F$4:$F$58</c:f>
              <c:numCache>
                <c:formatCode>0.000</c:formatCode>
                <c:ptCount val="55"/>
                <c:pt idx="0">
                  <c:v>4.7058823529411757</c:v>
                </c:pt>
                <c:pt idx="1">
                  <c:v>4.7058823529411757</c:v>
                </c:pt>
                <c:pt idx="2">
                  <c:v>4.7058823529411757</c:v>
                </c:pt>
                <c:pt idx="3">
                  <c:v>4.7058823529411757</c:v>
                </c:pt>
                <c:pt idx="4">
                  <c:v>4.7058823529411757</c:v>
                </c:pt>
                <c:pt idx="5">
                  <c:v>4.7058823529411757</c:v>
                </c:pt>
                <c:pt idx="6">
                  <c:v>4.7058823529411757</c:v>
                </c:pt>
                <c:pt idx="7">
                  <c:v>4.7058823529411757</c:v>
                </c:pt>
                <c:pt idx="8">
                  <c:v>4.7058823529411757</c:v>
                </c:pt>
                <c:pt idx="9">
                  <c:v>4.7058823529411757</c:v>
                </c:pt>
                <c:pt idx="10">
                  <c:v>4.7058823529411757</c:v>
                </c:pt>
                <c:pt idx="11">
                  <c:v>4.7058823529411757</c:v>
                </c:pt>
                <c:pt idx="12">
                  <c:v>4.7058823529411757</c:v>
                </c:pt>
                <c:pt idx="13">
                  <c:v>4.7058823529411757</c:v>
                </c:pt>
                <c:pt idx="14">
                  <c:v>4.7058823529411757</c:v>
                </c:pt>
                <c:pt idx="15">
                  <c:v>4.7058823529411757</c:v>
                </c:pt>
                <c:pt idx="16">
                  <c:v>4.7058823529411757</c:v>
                </c:pt>
                <c:pt idx="17">
                  <c:v>4.7058823529411757</c:v>
                </c:pt>
                <c:pt idx="18">
                  <c:v>4.7058823529411757</c:v>
                </c:pt>
                <c:pt idx="19">
                  <c:v>4.7058823529411757</c:v>
                </c:pt>
                <c:pt idx="20">
                  <c:v>4.7058823529411757</c:v>
                </c:pt>
                <c:pt idx="21">
                  <c:v>4.7058823529411757</c:v>
                </c:pt>
                <c:pt idx="22">
                  <c:v>4.7058823529411757</c:v>
                </c:pt>
                <c:pt idx="23">
                  <c:v>4.7058823529411757</c:v>
                </c:pt>
                <c:pt idx="24">
                  <c:v>4.7058823529411757</c:v>
                </c:pt>
                <c:pt idx="25">
                  <c:v>4.7058823529411757</c:v>
                </c:pt>
                <c:pt idx="26">
                  <c:v>4.7058823529411757</c:v>
                </c:pt>
                <c:pt idx="27">
                  <c:v>4.7058823529411757</c:v>
                </c:pt>
                <c:pt idx="28">
                  <c:v>4.7058823529411757</c:v>
                </c:pt>
                <c:pt idx="29">
                  <c:v>4.7058823529411757</c:v>
                </c:pt>
                <c:pt idx="30">
                  <c:v>4.7058823529411757</c:v>
                </c:pt>
                <c:pt idx="31">
                  <c:v>4.7058823529411757</c:v>
                </c:pt>
                <c:pt idx="32">
                  <c:v>4.7058823529411757</c:v>
                </c:pt>
                <c:pt idx="33">
                  <c:v>4.7058823529411757</c:v>
                </c:pt>
                <c:pt idx="34">
                  <c:v>4.7058823529411757</c:v>
                </c:pt>
                <c:pt idx="35">
                  <c:v>4.7058823529411757</c:v>
                </c:pt>
                <c:pt idx="36">
                  <c:v>4.7058823529411757</c:v>
                </c:pt>
                <c:pt idx="37">
                  <c:v>4.7058823529411757</c:v>
                </c:pt>
                <c:pt idx="38">
                  <c:v>4.7058823529411757</c:v>
                </c:pt>
                <c:pt idx="39">
                  <c:v>4.7058823529411757</c:v>
                </c:pt>
                <c:pt idx="40">
                  <c:v>4.7058823529411757</c:v>
                </c:pt>
                <c:pt idx="41">
                  <c:v>4.7058823529411757</c:v>
                </c:pt>
                <c:pt idx="42">
                  <c:v>4.7058823529411757</c:v>
                </c:pt>
                <c:pt idx="43">
                  <c:v>4.7058823529411757</c:v>
                </c:pt>
                <c:pt idx="44">
                  <c:v>4.7058823529411757</c:v>
                </c:pt>
                <c:pt idx="45">
                  <c:v>4.7058823529411757</c:v>
                </c:pt>
                <c:pt idx="46">
                  <c:v>4.7058823529411757</c:v>
                </c:pt>
                <c:pt idx="47">
                  <c:v>4.7058823529411757</c:v>
                </c:pt>
                <c:pt idx="48">
                  <c:v>4.7058823529411757</c:v>
                </c:pt>
                <c:pt idx="49">
                  <c:v>4.7058823529411757</c:v>
                </c:pt>
                <c:pt idx="50">
                  <c:v>4.7058823529411757</c:v>
                </c:pt>
                <c:pt idx="51">
                  <c:v>4.7058823529411757</c:v>
                </c:pt>
                <c:pt idx="52">
                  <c:v>4.7058823529411757</c:v>
                </c:pt>
                <c:pt idx="53">
                  <c:v>4.7058823529411757</c:v>
                </c:pt>
                <c:pt idx="54">
                  <c:v>4.7058823529411757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02B-4BDC-A8A8-AA443FB6F5BE}"/>
            </c:ext>
          </c:extLst>
        </c:ser>
        <c:ser>
          <c:idx val="5"/>
          <c:order val="5"/>
          <c:tx>
            <c:v>T1 CVB decentralized consensus O(1)</c:v>
          </c:tx>
          <c:spPr>
            <a:ln w="21960">
              <a:solidFill>
                <a:srgbClr val="FF0000"/>
              </a:solidFill>
              <a:prstDash val="sysDot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Data!$A$4:$A$58</c:f>
              <c:numCache>
                <c:formatCode>General</c:formatCode>
                <c:ptCount val="55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22</c:v>
                </c:pt>
                <c:pt idx="17">
                  <c:v>23</c:v>
                </c:pt>
                <c:pt idx="18">
                  <c:v>25</c:v>
                </c:pt>
                <c:pt idx="19">
                  <c:v>27</c:v>
                </c:pt>
                <c:pt idx="20">
                  <c:v>29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36</c:v>
                </c:pt>
                <c:pt idx="25">
                  <c:v>38</c:v>
                </c:pt>
                <c:pt idx="26">
                  <c:v>41</c:v>
                </c:pt>
                <c:pt idx="27">
                  <c:v>44</c:v>
                </c:pt>
                <c:pt idx="28">
                  <c:v>47</c:v>
                </c:pt>
                <c:pt idx="29">
                  <c:v>51</c:v>
                </c:pt>
                <c:pt idx="30">
                  <c:v>54</c:v>
                </c:pt>
                <c:pt idx="31">
                  <c:v>58</c:v>
                </c:pt>
                <c:pt idx="32">
                  <c:v>63</c:v>
                </c:pt>
                <c:pt idx="33">
                  <c:v>64</c:v>
                </c:pt>
                <c:pt idx="34">
                  <c:v>67</c:v>
                </c:pt>
                <c:pt idx="35">
                  <c:v>72</c:v>
                </c:pt>
                <c:pt idx="36">
                  <c:v>77</c:v>
                </c:pt>
                <c:pt idx="37">
                  <c:v>83</c:v>
                </c:pt>
                <c:pt idx="38">
                  <c:v>89</c:v>
                </c:pt>
                <c:pt idx="39">
                  <c:v>95</c:v>
                </c:pt>
                <c:pt idx="40">
                  <c:v>102</c:v>
                </c:pt>
                <c:pt idx="41">
                  <c:v>110</c:v>
                </c:pt>
                <c:pt idx="42">
                  <c:v>118</c:v>
                </c:pt>
                <c:pt idx="43">
                  <c:v>127</c:v>
                </c:pt>
                <c:pt idx="44">
                  <c:v>128</c:v>
                </c:pt>
                <c:pt idx="45">
                  <c:v>136</c:v>
                </c:pt>
                <c:pt idx="46">
                  <c:v>146</c:v>
                </c:pt>
                <c:pt idx="47">
                  <c:v>156</c:v>
                </c:pt>
                <c:pt idx="48">
                  <c:v>168</c:v>
                </c:pt>
                <c:pt idx="49">
                  <c:v>180</c:v>
                </c:pt>
                <c:pt idx="50">
                  <c:v>193</c:v>
                </c:pt>
                <c:pt idx="51">
                  <c:v>207</c:v>
                </c:pt>
                <c:pt idx="52">
                  <c:v>222</c:v>
                </c:pt>
                <c:pt idx="53">
                  <c:v>239</c:v>
                </c:pt>
                <c:pt idx="54">
                  <c:v>256</c:v>
                </c:pt>
              </c:numCache>
            </c:numRef>
          </c:xVal>
          <c:yVal>
            <c:numRef>
              <c:f>Data!$G$4:$G$58</c:f>
              <c:numCache>
                <c:formatCode>0.000</c:formatCode>
                <c:ptCount val="55"/>
                <c:pt idx="0">
                  <c:v>5.7058823529411766</c:v>
                </c:pt>
                <c:pt idx="1">
                  <c:v>5.7058823529411766</c:v>
                </c:pt>
                <c:pt idx="2">
                  <c:v>5.7058823529411766</c:v>
                </c:pt>
                <c:pt idx="3">
                  <c:v>5.7058823529411766</c:v>
                </c:pt>
                <c:pt idx="4">
                  <c:v>5.7058823529411766</c:v>
                </c:pt>
                <c:pt idx="5">
                  <c:v>5.7058823529411766</c:v>
                </c:pt>
                <c:pt idx="6">
                  <c:v>5.7058823529411766</c:v>
                </c:pt>
                <c:pt idx="7">
                  <c:v>5.7058823529411766</c:v>
                </c:pt>
                <c:pt idx="8">
                  <c:v>5.7058823529411766</c:v>
                </c:pt>
                <c:pt idx="9">
                  <c:v>5.7058823529411766</c:v>
                </c:pt>
                <c:pt idx="10">
                  <c:v>5.7058823529411766</c:v>
                </c:pt>
                <c:pt idx="11">
                  <c:v>5.7058823529411766</c:v>
                </c:pt>
                <c:pt idx="12">
                  <c:v>5.7058823529411766</c:v>
                </c:pt>
                <c:pt idx="13">
                  <c:v>5.7058823529411766</c:v>
                </c:pt>
                <c:pt idx="14">
                  <c:v>5.7058823529411766</c:v>
                </c:pt>
                <c:pt idx="15">
                  <c:v>5.7058823529411766</c:v>
                </c:pt>
                <c:pt idx="16">
                  <c:v>5.7058823529411766</c:v>
                </c:pt>
                <c:pt idx="17">
                  <c:v>5.7058823529411766</c:v>
                </c:pt>
                <c:pt idx="18">
                  <c:v>5.7058823529411766</c:v>
                </c:pt>
                <c:pt idx="19">
                  <c:v>5.7058823529411766</c:v>
                </c:pt>
                <c:pt idx="20">
                  <c:v>5.7058823529411766</c:v>
                </c:pt>
                <c:pt idx="21">
                  <c:v>5.7058823529411766</c:v>
                </c:pt>
                <c:pt idx="22">
                  <c:v>5.7058823529411766</c:v>
                </c:pt>
                <c:pt idx="23">
                  <c:v>5.7058823529411766</c:v>
                </c:pt>
                <c:pt idx="24">
                  <c:v>5.7058823529411766</c:v>
                </c:pt>
                <c:pt idx="25">
                  <c:v>5.7058823529411766</c:v>
                </c:pt>
                <c:pt idx="26">
                  <c:v>5.7058823529411766</c:v>
                </c:pt>
                <c:pt idx="27">
                  <c:v>5.7058823529411766</c:v>
                </c:pt>
                <c:pt idx="28">
                  <c:v>5.7058823529411766</c:v>
                </c:pt>
                <c:pt idx="29">
                  <c:v>5.7058823529411766</c:v>
                </c:pt>
                <c:pt idx="30">
                  <c:v>5.7058823529411766</c:v>
                </c:pt>
                <c:pt idx="31">
                  <c:v>5.7058823529411766</c:v>
                </c:pt>
                <c:pt idx="32">
                  <c:v>5.7058823529411766</c:v>
                </c:pt>
                <c:pt idx="33">
                  <c:v>5.7058823529411766</c:v>
                </c:pt>
                <c:pt idx="34">
                  <c:v>5.7058823529411766</c:v>
                </c:pt>
                <c:pt idx="35">
                  <c:v>5.7058823529411766</c:v>
                </c:pt>
                <c:pt idx="36">
                  <c:v>5.7058823529411766</c:v>
                </c:pt>
                <c:pt idx="37">
                  <c:v>5.7058823529411766</c:v>
                </c:pt>
                <c:pt idx="38">
                  <c:v>5.7058823529411766</c:v>
                </c:pt>
                <c:pt idx="39">
                  <c:v>5.7058823529411766</c:v>
                </c:pt>
                <c:pt idx="40">
                  <c:v>5.7058823529411766</c:v>
                </c:pt>
                <c:pt idx="41">
                  <c:v>5.7058823529411766</c:v>
                </c:pt>
                <c:pt idx="42">
                  <c:v>5.7058823529411766</c:v>
                </c:pt>
                <c:pt idx="43">
                  <c:v>5.7058823529411766</c:v>
                </c:pt>
                <c:pt idx="44">
                  <c:v>5.7058823529411766</c:v>
                </c:pt>
                <c:pt idx="45">
                  <c:v>5.7058823529411766</c:v>
                </c:pt>
                <c:pt idx="46">
                  <c:v>5.7058823529411766</c:v>
                </c:pt>
                <c:pt idx="47">
                  <c:v>5.7058823529411766</c:v>
                </c:pt>
                <c:pt idx="48">
                  <c:v>5.7058823529411766</c:v>
                </c:pt>
                <c:pt idx="49">
                  <c:v>5.7058823529411766</c:v>
                </c:pt>
                <c:pt idx="50">
                  <c:v>5.7058823529411766</c:v>
                </c:pt>
                <c:pt idx="51">
                  <c:v>5.7058823529411766</c:v>
                </c:pt>
                <c:pt idx="52">
                  <c:v>5.7058823529411766</c:v>
                </c:pt>
                <c:pt idx="53">
                  <c:v>5.7058823529411766</c:v>
                </c:pt>
                <c:pt idx="54">
                  <c:v>5.7058823529411766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02B-4BDC-A8A8-AA443FB6F5BE}"/>
            </c:ext>
          </c:extLst>
        </c:ser>
        <c:ser>
          <c:idx val="6"/>
          <c:order val="6"/>
          <c:tx>
            <c:v>T2 Energy decentralized 3-point O(1)</c:v>
          </c:tx>
          <c:spPr>
            <a:ln w="21960">
              <a:solidFill>
                <a:srgbClr val="0000FF"/>
              </a:solidFill>
              <a:prstDash val="sysDot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Data!$A$4:$A$58</c:f>
              <c:numCache>
                <c:formatCode>General</c:formatCode>
                <c:ptCount val="55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22</c:v>
                </c:pt>
                <c:pt idx="17">
                  <c:v>23</c:v>
                </c:pt>
                <c:pt idx="18">
                  <c:v>25</c:v>
                </c:pt>
                <c:pt idx="19">
                  <c:v>27</c:v>
                </c:pt>
                <c:pt idx="20">
                  <c:v>29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36</c:v>
                </c:pt>
                <c:pt idx="25">
                  <c:v>38</c:v>
                </c:pt>
                <c:pt idx="26">
                  <c:v>41</c:v>
                </c:pt>
                <c:pt idx="27">
                  <c:v>44</c:v>
                </c:pt>
                <c:pt idx="28">
                  <c:v>47</c:v>
                </c:pt>
                <c:pt idx="29">
                  <c:v>51</c:v>
                </c:pt>
                <c:pt idx="30">
                  <c:v>54</c:v>
                </c:pt>
                <c:pt idx="31">
                  <c:v>58</c:v>
                </c:pt>
                <c:pt idx="32">
                  <c:v>63</c:v>
                </c:pt>
                <c:pt idx="33">
                  <c:v>64</c:v>
                </c:pt>
                <c:pt idx="34">
                  <c:v>67</c:v>
                </c:pt>
                <c:pt idx="35">
                  <c:v>72</c:v>
                </c:pt>
                <c:pt idx="36">
                  <c:v>77</c:v>
                </c:pt>
                <c:pt idx="37">
                  <c:v>83</c:v>
                </c:pt>
                <c:pt idx="38">
                  <c:v>89</c:v>
                </c:pt>
                <c:pt idx="39">
                  <c:v>95</c:v>
                </c:pt>
                <c:pt idx="40">
                  <c:v>102</c:v>
                </c:pt>
                <c:pt idx="41">
                  <c:v>110</c:v>
                </c:pt>
                <c:pt idx="42">
                  <c:v>118</c:v>
                </c:pt>
                <c:pt idx="43">
                  <c:v>127</c:v>
                </c:pt>
                <c:pt idx="44">
                  <c:v>128</c:v>
                </c:pt>
                <c:pt idx="45">
                  <c:v>136</c:v>
                </c:pt>
                <c:pt idx="46">
                  <c:v>146</c:v>
                </c:pt>
                <c:pt idx="47">
                  <c:v>156</c:v>
                </c:pt>
                <c:pt idx="48">
                  <c:v>168</c:v>
                </c:pt>
                <c:pt idx="49">
                  <c:v>180</c:v>
                </c:pt>
                <c:pt idx="50">
                  <c:v>193</c:v>
                </c:pt>
                <c:pt idx="51">
                  <c:v>207</c:v>
                </c:pt>
                <c:pt idx="52">
                  <c:v>222</c:v>
                </c:pt>
                <c:pt idx="53">
                  <c:v>239</c:v>
                </c:pt>
                <c:pt idx="54">
                  <c:v>256</c:v>
                </c:pt>
              </c:numCache>
            </c:numRef>
          </c:xVal>
          <c:yVal>
            <c:numRef>
              <c:f>Data!$H$4:$H$58</c:f>
              <c:numCache>
                <c:formatCode>0.000</c:formatCode>
                <c:ptCount val="55"/>
                <c:pt idx="0">
                  <c:v>1.2941176470588234</c:v>
                </c:pt>
                <c:pt idx="1">
                  <c:v>1.2941176470588234</c:v>
                </c:pt>
                <c:pt idx="2">
                  <c:v>1.2941176470588234</c:v>
                </c:pt>
                <c:pt idx="3">
                  <c:v>1.2941176470588234</c:v>
                </c:pt>
                <c:pt idx="4">
                  <c:v>1.2941176470588234</c:v>
                </c:pt>
                <c:pt idx="5">
                  <c:v>1.2941176470588234</c:v>
                </c:pt>
                <c:pt idx="6">
                  <c:v>1.2941176470588234</c:v>
                </c:pt>
                <c:pt idx="7">
                  <c:v>1.2941176470588234</c:v>
                </c:pt>
                <c:pt idx="8">
                  <c:v>1.2941176470588234</c:v>
                </c:pt>
                <c:pt idx="9">
                  <c:v>1.2941176470588234</c:v>
                </c:pt>
                <c:pt idx="10">
                  <c:v>1.2941176470588234</c:v>
                </c:pt>
                <c:pt idx="11">
                  <c:v>1.2941176470588234</c:v>
                </c:pt>
                <c:pt idx="12">
                  <c:v>1.2941176470588234</c:v>
                </c:pt>
                <c:pt idx="13">
                  <c:v>1.2941176470588234</c:v>
                </c:pt>
                <c:pt idx="14">
                  <c:v>1.2941176470588234</c:v>
                </c:pt>
                <c:pt idx="15">
                  <c:v>1.2941176470588234</c:v>
                </c:pt>
                <c:pt idx="16">
                  <c:v>1.2941176470588234</c:v>
                </c:pt>
                <c:pt idx="17">
                  <c:v>1.2941176470588234</c:v>
                </c:pt>
                <c:pt idx="18">
                  <c:v>1.2941176470588234</c:v>
                </c:pt>
                <c:pt idx="19">
                  <c:v>1.2941176470588234</c:v>
                </c:pt>
                <c:pt idx="20">
                  <c:v>1.2941176470588234</c:v>
                </c:pt>
                <c:pt idx="21">
                  <c:v>1.2941176470588234</c:v>
                </c:pt>
                <c:pt idx="22">
                  <c:v>1.2941176470588234</c:v>
                </c:pt>
                <c:pt idx="23">
                  <c:v>1.2941176470588234</c:v>
                </c:pt>
                <c:pt idx="24">
                  <c:v>1.2941176470588234</c:v>
                </c:pt>
                <c:pt idx="25">
                  <c:v>1.2941176470588234</c:v>
                </c:pt>
                <c:pt idx="26">
                  <c:v>1.2941176470588234</c:v>
                </c:pt>
                <c:pt idx="27">
                  <c:v>1.2941176470588234</c:v>
                </c:pt>
                <c:pt idx="28">
                  <c:v>1.2941176470588234</c:v>
                </c:pt>
                <c:pt idx="29">
                  <c:v>1.2941176470588234</c:v>
                </c:pt>
                <c:pt idx="30">
                  <c:v>1.2941176470588234</c:v>
                </c:pt>
                <c:pt idx="31">
                  <c:v>1.2941176470588234</c:v>
                </c:pt>
                <c:pt idx="32">
                  <c:v>1.2941176470588234</c:v>
                </c:pt>
                <c:pt idx="33">
                  <c:v>1.2941176470588234</c:v>
                </c:pt>
                <c:pt idx="34">
                  <c:v>1.2941176470588234</c:v>
                </c:pt>
                <c:pt idx="35">
                  <c:v>1.2941176470588234</c:v>
                </c:pt>
                <c:pt idx="36">
                  <c:v>1.2941176470588234</c:v>
                </c:pt>
                <c:pt idx="37">
                  <c:v>1.2941176470588234</c:v>
                </c:pt>
                <c:pt idx="38">
                  <c:v>1.2941176470588234</c:v>
                </c:pt>
                <c:pt idx="39">
                  <c:v>1.2941176470588234</c:v>
                </c:pt>
                <c:pt idx="40">
                  <c:v>1.2941176470588234</c:v>
                </c:pt>
                <c:pt idx="41">
                  <c:v>1.2941176470588234</c:v>
                </c:pt>
                <c:pt idx="42">
                  <c:v>1.2941176470588234</c:v>
                </c:pt>
                <c:pt idx="43">
                  <c:v>1.2941176470588234</c:v>
                </c:pt>
                <c:pt idx="44">
                  <c:v>1.2941176470588234</c:v>
                </c:pt>
                <c:pt idx="45">
                  <c:v>1.2941176470588234</c:v>
                </c:pt>
                <c:pt idx="46">
                  <c:v>1.2941176470588234</c:v>
                </c:pt>
                <c:pt idx="47">
                  <c:v>1.2941176470588234</c:v>
                </c:pt>
                <c:pt idx="48">
                  <c:v>1.2941176470588234</c:v>
                </c:pt>
                <c:pt idx="49">
                  <c:v>1.2941176470588234</c:v>
                </c:pt>
                <c:pt idx="50">
                  <c:v>1.2941176470588234</c:v>
                </c:pt>
                <c:pt idx="51">
                  <c:v>1.2941176470588234</c:v>
                </c:pt>
                <c:pt idx="52">
                  <c:v>1.2941176470588234</c:v>
                </c:pt>
                <c:pt idx="53">
                  <c:v>1.2941176470588234</c:v>
                </c:pt>
                <c:pt idx="54">
                  <c:v>1.2941176470588234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02B-4BDC-A8A8-AA443FB6F5BE}"/>
            </c:ext>
          </c:extLst>
        </c:ser>
        <c:ser>
          <c:idx val="7"/>
          <c:order val="7"/>
          <c:tx>
            <c:v>Ts required by ±1 rule 1/(4·N·f0)</c:v>
          </c:tx>
          <c:spPr>
            <a:ln w="24840">
              <a:solidFill>
                <a:srgbClr val="BB00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Data!$A$4:$A$58</c:f>
              <c:numCache>
                <c:formatCode>General</c:formatCode>
                <c:ptCount val="55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22</c:v>
                </c:pt>
                <c:pt idx="17">
                  <c:v>23</c:v>
                </c:pt>
                <c:pt idx="18">
                  <c:v>25</c:v>
                </c:pt>
                <c:pt idx="19">
                  <c:v>27</c:v>
                </c:pt>
                <c:pt idx="20">
                  <c:v>29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36</c:v>
                </c:pt>
                <c:pt idx="25">
                  <c:v>38</c:v>
                </c:pt>
                <c:pt idx="26">
                  <c:v>41</c:v>
                </c:pt>
                <c:pt idx="27">
                  <c:v>44</c:v>
                </c:pt>
                <c:pt idx="28">
                  <c:v>47</c:v>
                </c:pt>
                <c:pt idx="29">
                  <c:v>51</c:v>
                </c:pt>
                <c:pt idx="30">
                  <c:v>54</c:v>
                </c:pt>
                <c:pt idx="31">
                  <c:v>58</c:v>
                </c:pt>
                <c:pt idx="32">
                  <c:v>63</c:v>
                </c:pt>
                <c:pt idx="33">
                  <c:v>64</c:v>
                </c:pt>
                <c:pt idx="34">
                  <c:v>67</c:v>
                </c:pt>
                <c:pt idx="35">
                  <c:v>72</c:v>
                </c:pt>
                <c:pt idx="36">
                  <c:v>77</c:v>
                </c:pt>
                <c:pt idx="37">
                  <c:v>83</c:v>
                </c:pt>
                <c:pt idx="38">
                  <c:v>89</c:v>
                </c:pt>
                <c:pt idx="39">
                  <c:v>95</c:v>
                </c:pt>
                <c:pt idx="40">
                  <c:v>102</c:v>
                </c:pt>
                <c:pt idx="41">
                  <c:v>110</c:v>
                </c:pt>
                <c:pt idx="42">
                  <c:v>118</c:v>
                </c:pt>
                <c:pt idx="43">
                  <c:v>127</c:v>
                </c:pt>
                <c:pt idx="44">
                  <c:v>128</c:v>
                </c:pt>
                <c:pt idx="45">
                  <c:v>136</c:v>
                </c:pt>
                <c:pt idx="46">
                  <c:v>146</c:v>
                </c:pt>
                <c:pt idx="47">
                  <c:v>156</c:v>
                </c:pt>
                <c:pt idx="48">
                  <c:v>168</c:v>
                </c:pt>
                <c:pt idx="49">
                  <c:v>180</c:v>
                </c:pt>
                <c:pt idx="50">
                  <c:v>193</c:v>
                </c:pt>
                <c:pt idx="51">
                  <c:v>207</c:v>
                </c:pt>
                <c:pt idx="52">
                  <c:v>222</c:v>
                </c:pt>
                <c:pt idx="53">
                  <c:v>239</c:v>
                </c:pt>
                <c:pt idx="54">
                  <c:v>256</c:v>
                </c:pt>
              </c:numCache>
            </c:numRef>
          </c:xVal>
          <c:yVal>
            <c:numRef>
              <c:f>Data!$I$4:$I$58</c:f>
              <c:numCache>
                <c:formatCode>0.00</c:formatCode>
                <c:ptCount val="55"/>
                <c:pt idx="0">
                  <c:v>1250</c:v>
                </c:pt>
                <c:pt idx="1">
                  <c:v>1000</c:v>
                </c:pt>
                <c:pt idx="2">
                  <c:v>833.33333333333337</c:v>
                </c:pt>
                <c:pt idx="3">
                  <c:v>714.28571428571433</c:v>
                </c:pt>
                <c:pt idx="4">
                  <c:v>625</c:v>
                </c:pt>
                <c:pt idx="5">
                  <c:v>555.55555555555554</c:v>
                </c:pt>
                <c:pt idx="6">
                  <c:v>500</c:v>
                </c:pt>
                <c:pt idx="7">
                  <c:v>454.54545454545456</c:v>
                </c:pt>
                <c:pt idx="8">
                  <c:v>416.66666666666669</c:v>
                </c:pt>
                <c:pt idx="9">
                  <c:v>384.61538461538464</c:v>
                </c:pt>
                <c:pt idx="10">
                  <c:v>357.14285714285717</c:v>
                </c:pt>
                <c:pt idx="11">
                  <c:v>333.33333333333331</c:v>
                </c:pt>
                <c:pt idx="12">
                  <c:v>312.5</c:v>
                </c:pt>
                <c:pt idx="13">
                  <c:v>277.77777777777777</c:v>
                </c:pt>
                <c:pt idx="14">
                  <c:v>263.15789473684208</c:v>
                </c:pt>
                <c:pt idx="15">
                  <c:v>250</c:v>
                </c:pt>
                <c:pt idx="16">
                  <c:v>227.27272727272728</c:v>
                </c:pt>
                <c:pt idx="17">
                  <c:v>217.39130434782609</c:v>
                </c:pt>
                <c:pt idx="18">
                  <c:v>200</c:v>
                </c:pt>
                <c:pt idx="19">
                  <c:v>185.18518518518516</c:v>
                </c:pt>
                <c:pt idx="20">
                  <c:v>172.41379310344826</c:v>
                </c:pt>
                <c:pt idx="21">
                  <c:v>161.29032258064515</c:v>
                </c:pt>
                <c:pt idx="22">
                  <c:v>156.25</c:v>
                </c:pt>
                <c:pt idx="23">
                  <c:v>151.5151515151515</c:v>
                </c:pt>
                <c:pt idx="24">
                  <c:v>138.88888888888889</c:v>
                </c:pt>
                <c:pt idx="25">
                  <c:v>131.57894736842104</c:v>
                </c:pt>
                <c:pt idx="26">
                  <c:v>121.95121951219512</c:v>
                </c:pt>
                <c:pt idx="27">
                  <c:v>113.63636363636364</c:v>
                </c:pt>
                <c:pt idx="28">
                  <c:v>106.38297872340425</c:v>
                </c:pt>
                <c:pt idx="29">
                  <c:v>98.039215686274503</c:v>
                </c:pt>
                <c:pt idx="30">
                  <c:v>92.592592592592581</c:v>
                </c:pt>
                <c:pt idx="31">
                  <c:v>86.206896551724128</c:v>
                </c:pt>
                <c:pt idx="32">
                  <c:v>79.365079365079367</c:v>
                </c:pt>
                <c:pt idx="33">
                  <c:v>78.125</c:v>
                </c:pt>
                <c:pt idx="34">
                  <c:v>74.626865671641795</c:v>
                </c:pt>
                <c:pt idx="35">
                  <c:v>69.444444444444443</c:v>
                </c:pt>
                <c:pt idx="36">
                  <c:v>64.935064935064929</c:v>
                </c:pt>
                <c:pt idx="37">
                  <c:v>60.240963855421683</c:v>
                </c:pt>
                <c:pt idx="38">
                  <c:v>56.17977528089888</c:v>
                </c:pt>
                <c:pt idx="39">
                  <c:v>52.631578947368425</c:v>
                </c:pt>
                <c:pt idx="40">
                  <c:v>49.019607843137251</c:v>
                </c:pt>
                <c:pt idx="41">
                  <c:v>45.454545454545453</c:v>
                </c:pt>
                <c:pt idx="42">
                  <c:v>42.372881355932208</c:v>
                </c:pt>
                <c:pt idx="43">
                  <c:v>39.370078740157481</c:v>
                </c:pt>
                <c:pt idx="44">
                  <c:v>39.0625</c:v>
                </c:pt>
                <c:pt idx="45">
                  <c:v>36.764705882352935</c:v>
                </c:pt>
                <c:pt idx="46">
                  <c:v>34.246575342465754</c:v>
                </c:pt>
                <c:pt idx="47">
                  <c:v>32.051282051282051</c:v>
                </c:pt>
                <c:pt idx="48">
                  <c:v>29.761904761904763</c:v>
                </c:pt>
                <c:pt idx="49">
                  <c:v>27.777777777777779</c:v>
                </c:pt>
                <c:pt idx="50">
                  <c:v>25.906735751295336</c:v>
                </c:pt>
                <c:pt idx="51">
                  <c:v>24.154589371980677</c:v>
                </c:pt>
                <c:pt idx="52">
                  <c:v>22.522522522522522</c:v>
                </c:pt>
                <c:pt idx="53">
                  <c:v>20.92050209205021</c:v>
                </c:pt>
                <c:pt idx="54">
                  <c:v>19.53125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02B-4BDC-A8A8-AA443FB6F5BE}"/>
            </c:ext>
          </c:extLst>
        </c:ser>
        <c:ser>
          <c:idx val="8"/>
          <c:order val="8"/>
          <c:tx>
            <c:v>Ts budget @10 kHz</c:v>
          </c:tx>
          <c:spPr>
            <a:ln w="1188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Data!$A$4:$A$58</c:f>
              <c:numCache>
                <c:formatCode>General</c:formatCode>
                <c:ptCount val="55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22</c:v>
                </c:pt>
                <c:pt idx="17">
                  <c:v>23</c:v>
                </c:pt>
                <c:pt idx="18">
                  <c:v>25</c:v>
                </c:pt>
                <c:pt idx="19">
                  <c:v>27</c:v>
                </c:pt>
                <c:pt idx="20">
                  <c:v>29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36</c:v>
                </c:pt>
                <c:pt idx="25">
                  <c:v>38</c:v>
                </c:pt>
                <c:pt idx="26">
                  <c:v>41</c:v>
                </c:pt>
                <c:pt idx="27">
                  <c:v>44</c:v>
                </c:pt>
                <c:pt idx="28">
                  <c:v>47</c:v>
                </c:pt>
                <c:pt idx="29">
                  <c:v>51</c:v>
                </c:pt>
                <c:pt idx="30">
                  <c:v>54</c:v>
                </c:pt>
                <c:pt idx="31">
                  <c:v>58</c:v>
                </c:pt>
                <c:pt idx="32">
                  <c:v>63</c:v>
                </c:pt>
                <c:pt idx="33">
                  <c:v>64</c:v>
                </c:pt>
                <c:pt idx="34">
                  <c:v>67</c:v>
                </c:pt>
                <c:pt idx="35">
                  <c:v>72</c:v>
                </c:pt>
                <c:pt idx="36">
                  <c:v>77</c:v>
                </c:pt>
                <c:pt idx="37">
                  <c:v>83</c:v>
                </c:pt>
                <c:pt idx="38">
                  <c:v>89</c:v>
                </c:pt>
                <c:pt idx="39">
                  <c:v>95</c:v>
                </c:pt>
                <c:pt idx="40">
                  <c:v>102</c:v>
                </c:pt>
                <c:pt idx="41">
                  <c:v>110</c:v>
                </c:pt>
                <c:pt idx="42">
                  <c:v>118</c:v>
                </c:pt>
                <c:pt idx="43">
                  <c:v>127</c:v>
                </c:pt>
                <c:pt idx="44">
                  <c:v>128</c:v>
                </c:pt>
                <c:pt idx="45">
                  <c:v>136</c:v>
                </c:pt>
                <c:pt idx="46">
                  <c:v>146</c:v>
                </c:pt>
                <c:pt idx="47">
                  <c:v>156</c:v>
                </c:pt>
                <c:pt idx="48">
                  <c:v>168</c:v>
                </c:pt>
                <c:pt idx="49">
                  <c:v>180</c:v>
                </c:pt>
                <c:pt idx="50">
                  <c:v>193</c:v>
                </c:pt>
                <c:pt idx="51">
                  <c:v>207</c:v>
                </c:pt>
                <c:pt idx="52">
                  <c:v>222</c:v>
                </c:pt>
                <c:pt idx="53">
                  <c:v>239</c:v>
                </c:pt>
                <c:pt idx="54">
                  <c:v>256</c:v>
                </c:pt>
              </c:numCache>
            </c:numRef>
          </c:xVal>
          <c:yVal>
            <c:numRef>
              <c:f>Data!$J$4:$J$58</c:f>
              <c:numCache>
                <c:formatCode>0</c:formatCode>
                <c:ptCount val="55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F02B-4BDC-A8A8-AA443FB6F5BE}"/>
            </c:ext>
          </c:extLst>
        </c:ser>
        <c:ser>
          <c:idx val="9"/>
          <c:order val="9"/>
          <c:tx>
            <c:v>Ts budget @20 kHz</c:v>
          </c:tx>
          <c:spPr>
            <a:ln w="11880">
              <a:solidFill>
                <a:srgbClr val="000000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Data!$A$4:$A$58</c:f>
              <c:numCache>
                <c:formatCode>General</c:formatCode>
                <c:ptCount val="55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22</c:v>
                </c:pt>
                <c:pt idx="17">
                  <c:v>23</c:v>
                </c:pt>
                <c:pt idx="18">
                  <c:v>25</c:v>
                </c:pt>
                <c:pt idx="19">
                  <c:v>27</c:v>
                </c:pt>
                <c:pt idx="20">
                  <c:v>29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36</c:v>
                </c:pt>
                <c:pt idx="25">
                  <c:v>38</c:v>
                </c:pt>
                <c:pt idx="26">
                  <c:v>41</c:v>
                </c:pt>
                <c:pt idx="27">
                  <c:v>44</c:v>
                </c:pt>
                <c:pt idx="28">
                  <c:v>47</c:v>
                </c:pt>
                <c:pt idx="29">
                  <c:v>51</c:v>
                </c:pt>
                <c:pt idx="30">
                  <c:v>54</c:v>
                </c:pt>
                <c:pt idx="31">
                  <c:v>58</c:v>
                </c:pt>
                <c:pt idx="32">
                  <c:v>63</c:v>
                </c:pt>
                <c:pt idx="33">
                  <c:v>64</c:v>
                </c:pt>
                <c:pt idx="34">
                  <c:v>67</c:v>
                </c:pt>
                <c:pt idx="35">
                  <c:v>72</c:v>
                </c:pt>
                <c:pt idx="36">
                  <c:v>77</c:v>
                </c:pt>
                <c:pt idx="37">
                  <c:v>83</c:v>
                </c:pt>
                <c:pt idx="38">
                  <c:v>89</c:v>
                </c:pt>
                <c:pt idx="39">
                  <c:v>95</c:v>
                </c:pt>
                <c:pt idx="40">
                  <c:v>102</c:v>
                </c:pt>
                <c:pt idx="41">
                  <c:v>110</c:v>
                </c:pt>
                <c:pt idx="42">
                  <c:v>118</c:v>
                </c:pt>
                <c:pt idx="43">
                  <c:v>127</c:v>
                </c:pt>
                <c:pt idx="44">
                  <c:v>128</c:v>
                </c:pt>
                <c:pt idx="45">
                  <c:v>136</c:v>
                </c:pt>
                <c:pt idx="46">
                  <c:v>146</c:v>
                </c:pt>
                <c:pt idx="47">
                  <c:v>156</c:v>
                </c:pt>
                <c:pt idx="48">
                  <c:v>168</c:v>
                </c:pt>
                <c:pt idx="49">
                  <c:v>180</c:v>
                </c:pt>
                <c:pt idx="50">
                  <c:v>193</c:v>
                </c:pt>
                <c:pt idx="51">
                  <c:v>207</c:v>
                </c:pt>
                <c:pt idx="52">
                  <c:v>222</c:v>
                </c:pt>
                <c:pt idx="53">
                  <c:v>239</c:v>
                </c:pt>
                <c:pt idx="54">
                  <c:v>256</c:v>
                </c:pt>
              </c:numCache>
            </c:numRef>
          </c:xVal>
          <c:yVal>
            <c:numRef>
              <c:f>Data!$K$4:$K$58</c:f>
              <c:numCache>
                <c:formatCode>0</c:formatCode>
                <c:ptCount val="55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  <c:pt idx="32">
                  <c:v>50</c:v>
                </c:pt>
                <c:pt idx="33">
                  <c:v>50</c:v>
                </c:pt>
                <c:pt idx="34">
                  <c:v>50</c:v>
                </c:pt>
                <c:pt idx="35">
                  <c:v>50</c:v>
                </c:pt>
                <c:pt idx="36">
                  <c:v>50</c:v>
                </c:pt>
                <c:pt idx="37">
                  <c:v>50</c:v>
                </c:pt>
                <c:pt idx="38">
                  <c:v>50</c:v>
                </c:pt>
                <c:pt idx="39">
                  <c:v>50</c:v>
                </c:pt>
                <c:pt idx="40">
                  <c:v>50</c:v>
                </c:pt>
                <c:pt idx="41">
                  <c:v>50</c:v>
                </c:pt>
                <c:pt idx="42">
                  <c:v>50</c:v>
                </c:pt>
                <c:pt idx="43">
                  <c:v>50</c:v>
                </c:pt>
                <c:pt idx="44">
                  <c:v>50</c:v>
                </c:pt>
                <c:pt idx="45">
                  <c:v>50</c:v>
                </c:pt>
                <c:pt idx="46">
                  <c:v>50</c:v>
                </c:pt>
                <c:pt idx="47">
                  <c:v>50</c:v>
                </c:pt>
                <c:pt idx="48">
                  <c:v>50</c:v>
                </c:pt>
                <c:pt idx="49">
                  <c:v>50</c:v>
                </c:pt>
                <c:pt idx="50">
                  <c:v>50</c:v>
                </c:pt>
                <c:pt idx="51">
                  <c:v>50</c:v>
                </c:pt>
                <c:pt idx="52">
                  <c:v>50</c:v>
                </c:pt>
                <c:pt idx="53">
                  <c:v>50</c:v>
                </c:pt>
                <c:pt idx="54">
                  <c:v>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F02B-4BDC-A8A8-AA443FB6F5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0116"/>
        <c:axId val="29451076"/>
      </c:scatterChart>
      <c:valAx>
        <c:axId val="540116"/>
        <c:scaling>
          <c:logBase val="10"/>
          <c:orientation val="minMax"/>
          <c:max val="300"/>
          <c:min val="4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Number of submodules per arm  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9451076"/>
        <c:crosses val="autoZero"/>
        <c:crossBetween val="midCat"/>
      </c:valAx>
      <c:valAx>
        <c:axId val="29451076"/>
        <c:scaling>
          <c:logBase val="10"/>
          <c:orientation val="minMax"/>
          <c:max val="20000"/>
          <c:min val="0.1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Computing time per control period [µs] (STM32G474 @170 MHz)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40116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15</xdr:col>
      <xdr:colOff>187200</xdr:colOff>
      <xdr:row>30</xdr:row>
      <xdr:rowOff>65520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zoomScaleNormal="100" workbookViewId="0"/>
  </sheetViews>
  <sheetFormatPr baseColWidth="10" defaultColWidth="8.6328125" defaultRowHeight="14.5" x14ac:dyDescent="0.35"/>
  <sheetData>
    <row r="1" spans="1:1" x14ac:dyDescent="0.35">
      <c r="A1" s="2" t="s">
        <v>0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"/>
  <sheetViews>
    <sheetView showGridLines="0" tabSelected="1" zoomScaleNormal="100" workbookViewId="0"/>
  </sheetViews>
  <sheetFormatPr baseColWidth="10" defaultColWidth="8.6328125" defaultRowHeight="14.5" x14ac:dyDescent="0.35"/>
  <cols>
    <col min="1" max="1" width="44" customWidth="1"/>
    <col min="2" max="2" width="16" customWidth="1"/>
    <col min="3" max="3" width="10" customWidth="1"/>
    <col min="4" max="4" width="12" customWidth="1"/>
    <col min="5" max="6" width="10" customWidth="1"/>
    <col min="7" max="7" width="24" customWidth="1"/>
    <col min="8" max="8" width="60" customWidth="1"/>
  </cols>
  <sheetData>
    <row r="1" spans="1:8" ht="16.5" x14ac:dyDescent="0.35">
      <c r="A1" s="3" t="s">
        <v>1</v>
      </c>
    </row>
    <row r="2" spans="1:8" x14ac:dyDescent="0.35">
      <c r="A2" s="4" t="s">
        <v>2</v>
      </c>
    </row>
    <row r="4" spans="1:8" x14ac:dyDescent="0.35">
      <c r="A4" s="5" t="s">
        <v>3</v>
      </c>
      <c r="B4" s="5" t="s">
        <v>4</v>
      </c>
      <c r="C4" s="5" t="s">
        <v>5</v>
      </c>
      <c r="D4" s="5" t="s">
        <v>6</v>
      </c>
    </row>
    <row r="5" spans="1:8" x14ac:dyDescent="0.35">
      <c r="A5" s="6" t="s">
        <v>7</v>
      </c>
      <c r="B5" s="7" t="s">
        <v>8</v>
      </c>
      <c r="C5" s="8">
        <v>170000000</v>
      </c>
      <c r="D5" s="7" t="s">
        <v>9</v>
      </c>
    </row>
    <row r="6" spans="1:8" x14ac:dyDescent="0.35">
      <c r="A6" s="6" t="s">
        <v>10</v>
      </c>
      <c r="B6" s="7" t="s">
        <v>11</v>
      </c>
      <c r="C6" s="8">
        <v>50</v>
      </c>
      <c r="D6" s="7" t="s">
        <v>9</v>
      </c>
    </row>
    <row r="7" spans="1:8" x14ac:dyDescent="0.35">
      <c r="A7" s="6" t="s">
        <v>12</v>
      </c>
      <c r="B7" s="7" t="s">
        <v>13</v>
      </c>
      <c r="C7" s="8">
        <v>100</v>
      </c>
      <c r="D7" s="7" t="s">
        <v>14</v>
      </c>
    </row>
    <row r="8" spans="1:8" x14ac:dyDescent="0.35">
      <c r="A8" s="6" t="s">
        <v>15</v>
      </c>
      <c r="B8" s="7" t="s">
        <v>16</v>
      </c>
      <c r="C8" s="8">
        <v>50</v>
      </c>
      <c r="D8" s="7" t="s">
        <v>14</v>
      </c>
    </row>
    <row r="9" spans="1:8" x14ac:dyDescent="0.35">
      <c r="A9" s="6" t="s">
        <v>17</v>
      </c>
      <c r="B9" s="7" t="s">
        <v>18</v>
      </c>
      <c r="C9" s="8">
        <v>4</v>
      </c>
      <c r="D9" s="7" t="s">
        <v>19</v>
      </c>
    </row>
    <row r="10" spans="1:8" x14ac:dyDescent="0.35">
      <c r="A10" s="6" t="s">
        <v>20</v>
      </c>
      <c r="B10" s="7" t="s">
        <v>21</v>
      </c>
      <c r="C10" s="8">
        <v>256</v>
      </c>
      <c r="D10" s="7" t="s">
        <v>19</v>
      </c>
    </row>
    <row r="12" spans="1:8" x14ac:dyDescent="0.35">
      <c r="A12" s="2" t="s">
        <v>22</v>
      </c>
    </row>
    <row r="13" spans="1:8" x14ac:dyDescent="0.35">
      <c r="A13" s="9" t="s">
        <v>23</v>
      </c>
      <c r="B13" s="9" t="s">
        <v>24</v>
      </c>
      <c r="C13" s="9" t="s">
        <v>25</v>
      </c>
      <c r="D13" s="9" t="s">
        <v>26</v>
      </c>
      <c r="E13" s="9" t="s">
        <v>27</v>
      </c>
      <c r="F13" s="9" t="s">
        <v>28</v>
      </c>
      <c r="G13" s="9" t="s">
        <v>29</v>
      </c>
      <c r="H13" s="9" t="s">
        <v>30</v>
      </c>
    </row>
    <row r="14" spans="1:8" x14ac:dyDescent="0.35">
      <c r="A14" s="6" t="s">
        <v>31</v>
      </c>
      <c r="B14" s="7" t="s">
        <v>32</v>
      </c>
      <c r="C14" s="10">
        <v>12</v>
      </c>
      <c r="D14" s="10">
        <v>0</v>
      </c>
      <c r="E14" s="10">
        <v>10</v>
      </c>
      <c r="F14" s="10">
        <v>50</v>
      </c>
      <c r="G14" s="7" t="s">
        <v>33</v>
      </c>
      <c r="H14" s="7" t="s">
        <v>34</v>
      </c>
    </row>
    <row r="15" spans="1:8" x14ac:dyDescent="0.35">
      <c r="A15" s="6" t="s">
        <v>35</v>
      </c>
      <c r="B15" s="7" t="s">
        <v>36</v>
      </c>
      <c r="C15" s="10">
        <v>0</v>
      </c>
      <c r="D15" s="10">
        <v>40</v>
      </c>
      <c r="E15" s="10">
        <v>10</v>
      </c>
      <c r="F15" s="10">
        <v>50</v>
      </c>
      <c r="G15" s="7" t="s">
        <v>37</v>
      </c>
      <c r="H15" s="7" t="s">
        <v>38</v>
      </c>
    </row>
    <row r="16" spans="1:8" x14ac:dyDescent="0.35">
      <c r="A16" s="6" t="s">
        <v>39</v>
      </c>
      <c r="B16" s="7" t="s">
        <v>40</v>
      </c>
      <c r="C16" s="10">
        <v>0</v>
      </c>
      <c r="D16" s="10">
        <v>0</v>
      </c>
      <c r="E16" s="10">
        <v>6</v>
      </c>
      <c r="F16" s="10">
        <v>200</v>
      </c>
      <c r="G16" s="7" t="s">
        <v>41</v>
      </c>
      <c r="H16" s="7" t="s">
        <v>42</v>
      </c>
    </row>
    <row r="17" spans="1:8" x14ac:dyDescent="0.35">
      <c r="A17" s="6" t="s">
        <v>43</v>
      </c>
      <c r="B17" s="7" t="s">
        <v>40</v>
      </c>
      <c r="C17" s="10">
        <v>0</v>
      </c>
      <c r="D17" s="10">
        <v>0</v>
      </c>
      <c r="E17" s="10">
        <v>19</v>
      </c>
      <c r="F17" s="10">
        <v>200</v>
      </c>
      <c r="G17" s="7" t="s">
        <v>44</v>
      </c>
      <c r="H17" s="7" t="s">
        <v>45</v>
      </c>
    </row>
    <row r="18" spans="1:8" x14ac:dyDescent="0.35">
      <c r="A18" s="6" t="s">
        <v>46</v>
      </c>
      <c r="B18" s="7" t="s">
        <v>47</v>
      </c>
      <c r="C18" s="10">
        <v>0</v>
      </c>
      <c r="D18" s="10">
        <v>0</v>
      </c>
      <c r="E18" s="10">
        <v>0</v>
      </c>
      <c r="F18" s="10">
        <v>800</v>
      </c>
      <c r="G18" s="7" t="s">
        <v>48</v>
      </c>
      <c r="H18" s="7" t="s">
        <v>49</v>
      </c>
    </row>
    <row r="19" spans="1:8" x14ac:dyDescent="0.35">
      <c r="A19" s="6" t="s">
        <v>50</v>
      </c>
      <c r="B19" s="7" t="s">
        <v>47</v>
      </c>
      <c r="C19" s="10">
        <v>0</v>
      </c>
      <c r="D19" s="10">
        <v>0</v>
      </c>
      <c r="E19" s="10">
        <v>0</v>
      </c>
      <c r="F19" s="10">
        <v>970</v>
      </c>
      <c r="G19" s="7" t="s">
        <v>51</v>
      </c>
      <c r="H19" s="7" t="s">
        <v>52</v>
      </c>
    </row>
    <row r="20" spans="1:8" x14ac:dyDescent="0.35">
      <c r="A20" s="6" t="s">
        <v>53</v>
      </c>
      <c r="B20" s="7" t="s">
        <v>47</v>
      </c>
      <c r="C20" s="10">
        <v>0</v>
      </c>
      <c r="D20" s="10">
        <v>0</v>
      </c>
      <c r="E20" s="10">
        <v>0</v>
      </c>
      <c r="F20" s="10">
        <v>220</v>
      </c>
      <c r="G20" s="7" t="s">
        <v>54</v>
      </c>
      <c r="H20" s="7" t="s">
        <v>55</v>
      </c>
    </row>
    <row r="22" spans="1:8" x14ac:dyDescent="0.35">
      <c r="A22" s="11" t="s">
        <v>56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6"/>
  <sheetViews>
    <sheetView showGridLines="0" zoomScaleNormal="100" workbookViewId="0"/>
  </sheetViews>
  <sheetFormatPr baseColWidth="10" defaultColWidth="8.6328125" defaultRowHeight="14.5" x14ac:dyDescent="0.35"/>
  <cols>
    <col min="1" max="1" width="8" customWidth="1"/>
    <col min="2" max="11" width="17" customWidth="1"/>
  </cols>
  <sheetData>
    <row r="1" spans="1:11" x14ac:dyDescent="0.35">
      <c r="A1" s="2" t="s">
        <v>57</v>
      </c>
    </row>
    <row r="3" spans="1:11" ht="45" customHeight="1" x14ac:dyDescent="0.35">
      <c r="A3" s="9" t="s">
        <v>58</v>
      </c>
      <c r="B3" s="9" t="s">
        <v>59</v>
      </c>
      <c r="C3" s="9" t="s">
        <v>60</v>
      </c>
      <c r="D3" s="9" t="s">
        <v>61</v>
      </c>
      <c r="E3" s="9" t="s">
        <v>62</v>
      </c>
      <c r="F3" s="9" t="s">
        <v>63</v>
      </c>
      <c r="G3" s="9" t="s">
        <v>64</v>
      </c>
      <c r="H3" s="9" t="s">
        <v>65</v>
      </c>
      <c r="I3" s="9" t="s">
        <v>66</v>
      </c>
      <c r="J3" s="9" t="s">
        <v>67</v>
      </c>
      <c r="K3" s="9" t="s">
        <v>68</v>
      </c>
    </row>
    <row r="4" spans="1:11" x14ac:dyDescent="0.35">
      <c r="A4" s="10">
        <v>4</v>
      </c>
      <c r="B4" s="12">
        <f>(Inputs!$C$14*$A4^2+Inputs!$D$14*$A4*LOG($A4,2)+Inputs!$E$14*$A4+Inputs!$F$14)/Inputs!$C$5*1000000</f>
        <v>1.6588235294117648</v>
      </c>
      <c r="C4" s="12">
        <f>(Inputs!$C$15*$A4^2+Inputs!$D$15*$A4*LOG($A4,2)+Inputs!$E$15*$A4+Inputs!$F$15)/Inputs!$C$5*1000000</f>
        <v>2.4117647058823533</v>
      </c>
      <c r="D4" s="12">
        <f>(Inputs!$C$16*$A4^2+Inputs!$D$16*$A4*LOG($A4,2)+Inputs!$E$16*$A4+Inputs!$F$16)/Inputs!$C$5*1000000</f>
        <v>1.3176470588235294</v>
      </c>
      <c r="E4" s="12">
        <f>(Inputs!$C$17*$A4^2+Inputs!$D$17*$A4*LOG($A4,2)+Inputs!$E$17*$A4+Inputs!$F$17)/Inputs!$C$5*1000000</f>
        <v>1.6235294117647059</v>
      </c>
      <c r="F4" s="12">
        <f>(Inputs!$C$18*$A4^2+Inputs!$D$18*$A4*LOG($A4,2)+Inputs!$E$18*$A4+Inputs!$F$18)/Inputs!$C$5*1000000</f>
        <v>4.7058823529411757</v>
      </c>
      <c r="G4" s="12">
        <f>(Inputs!$C$19*$A4^2+Inputs!$D$19*$A4*LOG($A4,2)+Inputs!$E$19*$A4+Inputs!$F$19)/Inputs!$C$5*1000000</f>
        <v>5.7058823529411766</v>
      </c>
      <c r="H4" s="12">
        <f>(Inputs!$C$20*$A4^2+Inputs!$D$20*$A4*LOG($A4,2)+Inputs!$E$20*$A4+Inputs!$F$20)/Inputs!$C$5*1000000</f>
        <v>1.2941176470588234</v>
      </c>
      <c r="I4" s="13">
        <f>1/(4*$A4*Inputs!$C$6)*1000000</f>
        <v>1250</v>
      </c>
      <c r="J4" s="14">
        <f>Inputs!$C$7</f>
        <v>100</v>
      </c>
      <c r="K4" s="14">
        <f>Inputs!$C$8</f>
        <v>50</v>
      </c>
    </row>
    <row r="5" spans="1:11" x14ac:dyDescent="0.35">
      <c r="A5" s="10">
        <v>5</v>
      </c>
      <c r="B5" s="12">
        <f>(Inputs!$C$14*$A5^2+Inputs!$D$14*$A5*LOG($A5,2)+Inputs!$E$14*$A5+Inputs!$F$14)/Inputs!$C$5*1000000</f>
        <v>2.3529411764705879</v>
      </c>
      <c r="C5" s="12">
        <f>(Inputs!$C$15*$A5^2+Inputs!$D$15*$A5*LOG($A5,2)+Inputs!$E$15*$A5+Inputs!$F$15)/Inputs!$C$5*1000000</f>
        <v>3.3199154057498377</v>
      </c>
      <c r="D5" s="12">
        <f>(Inputs!$C$16*$A5^2+Inputs!$D$16*$A5*LOG($A5,2)+Inputs!$E$16*$A5+Inputs!$F$16)/Inputs!$C$5*1000000</f>
        <v>1.3529411764705883</v>
      </c>
      <c r="E5" s="12">
        <f>(Inputs!$C$17*$A5^2+Inputs!$D$17*$A5*LOG($A5,2)+Inputs!$E$17*$A5+Inputs!$F$17)/Inputs!$C$5*1000000</f>
        <v>1.7352941176470589</v>
      </c>
      <c r="F5" s="12">
        <f>(Inputs!$C$18*$A5^2+Inputs!$D$18*$A5*LOG($A5,2)+Inputs!$E$18*$A5+Inputs!$F$18)/Inputs!$C$5*1000000</f>
        <v>4.7058823529411757</v>
      </c>
      <c r="G5" s="12">
        <f>(Inputs!$C$19*$A5^2+Inputs!$D$19*$A5*LOG($A5,2)+Inputs!$E$19*$A5+Inputs!$F$19)/Inputs!$C$5*1000000</f>
        <v>5.7058823529411766</v>
      </c>
      <c r="H5" s="12">
        <f>(Inputs!$C$20*$A5^2+Inputs!$D$20*$A5*LOG($A5,2)+Inputs!$E$20*$A5+Inputs!$F$20)/Inputs!$C$5*1000000</f>
        <v>1.2941176470588234</v>
      </c>
      <c r="I5" s="13">
        <f>1/(4*$A5*Inputs!$C$6)*1000000</f>
        <v>1000</v>
      </c>
      <c r="J5" s="14">
        <f>Inputs!$C$7</f>
        <v>100</v>
      </c>
      <c r="K5" s="14">
        <f>Inputs!$C$8</f>
        <v>50</v>
      </c>
    </row>
    <row r="6" spans="1:11" x14ac:dyDescent="0.35">
      <c r="A6" s="10">
        <v>6</v>
      </c>
      <c r="B6" s="12">
        <f>(Inputs!$C$14*$A6^2+Inputs!$D$14*$A6*LOG($A6,2)+Inputs!$E$14*$A6+Inputs!$F$14)/Inputs!$C$5*1000000</f>
        <v>3.1882352941176473</v>
      </c>
      <c r="C6" s="12">
        <f>(Inputs!$C$15*$A6^2+Inputs!$D$15*$A6*LOG($A6,2)+Inputs!$E$15*$A6+Inputs!$F$15)/Inputs!$C$5*1000000</f>
        <v>4.2964176480769263</v>
      </c>
      <c r="D6" s="12">
        <f>(Inputs!$C$16*$A6^2+Inputs!$D$16*$A6*LOG($A6,2)+Inputs!$E$16*$A6+Inputs!$F$16)/Inputs!$C$5*1000000</f>
        <v>1.388235294117647</v>
      </c>
      <c r="E6" s="12">
        <f>(Inputs!$C$17*$A6^2+Inputs!$D$17*$A6*LOG($A6,2)+Inputs!$E$17*$A6+Inputs!$F$17)/Inputs!$C$5*1000000</f>
        <v>1.8470588235294119</v>
      </c>
      <c r="F6" s="12">
        <f>(Inputs!$C$18*$A6^2+Inputs!$D$18*$A6*LOG($A6,2)+Inputs!$E$18*$A6+Inputs!$F$18)/Inputs!$C$5*1000000</f>
        <v>4.7058823529411757</v>
      </c>
      <c r="G6" s="12">
        <f>(Inputs!$C$19*$A6^2+Inputs!$D$19*$A6*LOG($A6,2)+Inputs!$E$19*$A6+Inputs!$F$19)/Inputs!$C$5*1000000</f>
        <v>5.7058823529411766</v>
      </c>
      <c r="H6" s="12">
        <f>(Inputs!$C$20*$A6^2+Inputs!$D$20*$A6*LOG($A6,2)+Inputs!$E$20*$A6+Inputs!$F$20)/Inputs!$C$5*1000000</f>
        <v>1.2941176470588234</v>
      </c>
      <c r="I6" s="13">
        <f>1/(4*$A6*Inputs!$C$6)*1000000</f>
        <v>833.33333333333337</v>
      </c>
      <c r="J6" s="14">
        <f>Inputs!$C$7</f>
        <v>100</v>
      </c>
      <c r="K6" s="14">
        <f>Inputs!$C$8</f>
        <v>50</v>
      </c>
    </row>
    <row r="7" spans="1:11" x14ac:dyDescent="0.35">
      <c r="A7" s="10">
        <v>7</v>
      </c>
      <c r="B7" s="12">
        <f>(Inputs!$C$14*$A7^2+Inputs!$D$14*$A7*LOG($A7,2)+Inputs!$E$14*$A7+Inputs!$F$14)/Inputs!$C$5*1000000</f>
        <v>4.1647058823529406</v>
      </c>
      <c r="C7" s="12">
        <f>(Inputs!$C$15*$A7^2+Inputs!$D$15*$A7*LOG($A7,2)+Inputs!$E$15*$A7+Inputs!$F$15)/Inputs!$C$5*1000000</f>
        <v>5.3297610480948769</v>
      </c>
      <c r="D7" s="12">
        <f>(Inputs!$C$16*$A7^2+Inputs!$D$16*$A7*LOG($A7,2)+Inputs!$E$16*$A7+Inputs!$F$16)/Inputs!$C$5*1000000</f>
        <v>1.4235294117647059</v>
      </c>
      <c r="E7" s="12">
        <f>(Inputs!$C$17*$A7^2+Inputs!$D$17*$A7*LOG($A7,2)+Inputs!$E$17*$A7+Inputs!$F$17)/Inputs!$C$5*1000000</f>
        <v>1.9588235294117646</v>
      </c>
      <c r="F7" s="12">
        <f>(Inputs!$C$18*$A7^2+Inputs!$D$18*$A7*LOG($A7,2)+Inputs!$E$18*$A7+Inputs!$F$18)/Inputs!$C$5*1000000</f>
        <v>4.7058823529411757</v>
      </c>
      <c r="G7" s="12">
        <f>(Inputs!$C$19*$A7^2+Inputs!$D$19*$A7*LOG($A7,2)+Inputs!$E$19*$A7+Inputs!$F$19)/Inputs!$C$5*1000000</f>
        <v>5.7058823529411766</v>
      </c>
      <c r="H7" s="12">
        <f>(Inputs!$C$20*$A7^2+Inputs!$D$20*$A7*LOG($A7,2)+Inputs!$E$20*$A7+Inputs!$F$20)/Inputs!$C$5*1000000</f>
        <v>1.2941176470588234</v>
      </c>
      <c r="I7" s="13">
        <f>1/(4*$A7*Inputs!$C$6)*1000000</f>
        <v>714.28571428571433</v>
      </c>
      <c r="J7" s="14">
        <f>Inputs!$C$7</f>
        <v>100</v>
      </c>
      <c r="K7" s="14">
        <f>Inputs!$C$8</f>
        <v>50</v>
      </c>
    </row>
    <row r="8" spans="1:11" x14ac:dyDescent="0.35">
      <c r="A8" s="10">
        <v>8</v>
      </c>
      <c r="B8" s="12">
        <f>(Inputs!$C$14*$A8^2+Inputs!$D$14*$A8*LOG($A8,2)+Inputs!$E$14*$A8+Inputs!$F$14)/Inputs!$C$5*1000000</f>
        <v>5.2823529411764705</v>
      </c>
      <c r="C8" s="12">
        <f>(Inputs!$C$15*$A8^2+Inputs!$D$15*$A8*LOG($A8,2)+Inputs!$E$15*$A8+Inputs!$F$15)/Inputs!$C$5*1000000</f>
        <v>6.4117647058823533</v>
      </c>
      <c r="D8" s="12">
        <f>(Inputs!$C$16*$A8^2+Inputs!$D$16*$A8*LOG($A8,2)+Inputs!$E$16*$A8+Inputs!$F$16)/Inputs!$C$5*1000000</f>
        <v>1.4588235294117649</v>
      </c>
      <c r="E8" s="12">
        <f>(Inputs!$C$17*$A8^2+Inputs!$D$17*$A8*LOG($A8,2)+Inputs!$E$17*$A8+Inputs!$F$17)/Inputs!$C$5*1000000</f>
        <v>2.0705882352941178</v>
      </c>
      <c r="F8" s="12">
        <f>(Inputs!$C$18*$A8^2+Inputs!$D$18*$A8*LOG($A8,2)+Inputs!$E$18*$A8+Inputs!$F$18)/Inputs!$C$5*1000000</f>
        <v>4.7058823529411757</v>
      </c>
      <c r="G8" s="12">
        <f>(Inputs!$C$19*$A8^2+Inputs!$D$19*$A8*LOG($A8,2)+Inputs!$E$19*$A8+Inputs!$F$19)/Inputs!$C$5*1000000</f>
        <v>5.7058823529411766</v>
      </c>
      <c r="H8" s="12">
        <f>(Inputs!$C$20*$A8^2+Inputs!$D$20*$A8*LOG($A8,2)+Inputs!$E$20*$A8+Inputs!$F$20)/Inputs!$C$5*1000000</f>
        <v>1.2941176470588234</v>
      </c>
      <c r="I8" s="13">
        <f>1/(4*$A8*Inputs!$C$6)*1000000</f>
        <v>625</v>
      </c>
      <c r="J8" s="14">
        <f>Inputs!$C$7</f>
        <v>100</v>
      </c>
      <c r="K8" s="14">
        <f>Inputs!$C$8</f>
        <v>50</v>
      </c>
    </row>
    <row r="9" spans="1:11" x14ac:dyDescent="0.35">
      <c r="A9" s="10">
        <v>9</v>
      </c>
      <c r="B9" s="12">
        <f>(Inputs!$C$14*$A9^2+Inputs!$D$14*$A9*LOG($A9,2)+Inputs!$E$14*$A9+Inputs!$F$14)/Inputs!$C$5*1000000</f>
        <v>6.5411764705882351</v>
      </c>
      <c r="C9" s="12">
        <f>(Inputs!$C$15*$A9^2+Inputs!$D$15*$A9*LOG($A9,2)+Inputs!$E$15*$A9+Inputs!$F$15)/Inputs!$C$5*1000000</f>
        <v>7.5363117677601918</v>
      </c>
      <c r="D9" s="12">
        <f>(Inputs!$C$16*$A9^2+Inputs!$D$16*$A9*LOG($A9,2)+Inputs!$E$16*$A9+Inputs!$F$16)/Inputs!$C$5*1000000</f>
        <v>1.4941176470588236</v>
      </c>
      <c r="E9" s="12">
        <f>(Inputs!$C$17*$A9^2+Inputs!$D$17*$A9*LOG($A9,2)+Inputs!$E$17*$A9+Inputs!$F$17)/Inputs!$C$5*1000000</f>
        <v>2.1823529411764708</v>
      </c>
      <c r="F9" s="12">
        <f>(Inputs!$C$18*$A9^2+Inputs!$D$18*$A9*LOG($A9,2)+Inputs!$E$18*$A9+Inputs!$F$18)/Inputs!$C$5*1000000</f>
        <v>4.7058823529411757</v>
      </c>
      <c r="G9" s="12">
        <f>(Inputs!$C$19*$A9^2+Inputs!$D$19*$A9*LOG($A9,2)+Inputs!$E$19*$A9+Inputs!$F$19)/Inputs!$C$5*1000000</f>
        <v>5.7058823529411766</v>
      </c>
      <c r="H9" s="12">
        <f>(Inputs!$C$20*$A9^2+Inputs!$D$20*$A9*LOG($A9,2)+Inputs!$E$20*$A9+Inputs!$F$20)/Inputs!$C$5*1000000</f>
        <v>1.2941176470588234</v>
      </c>
      <c r="I9" s="13">
        <f>1/(4*$A9*Inputs!$C$6)*1000000</f>
        <v>555.55555555555554</v>
      </c>
      <c r="J9" s="14">
        <f>Inputs!$C$7</f>
        <v>100</v>
      </c>
      <c r="K9" s="14">
        <f>Inputs!$C$8</f>
        <v>50</v>
      </c>
    </row>
    <row r="10" spans="1:11" x14ac:dyDescent="0.35">
      <c r="A10" s="10">
        <v>10</v>
      </c>
      <c r="B10" s="12">
        <f>(Inputs!$C$14*$A10^2+Inputs!$D$14*$A10*LOG($A10,2)+Inputs!$E$14*$A10+Inputs!$F$14)/Inputs!$C$5*1000000</f>
        <v>7.9411764705882346</v>
      </c>
      <c r="C10" s="12">
        <f>(Inputs!$C$15*$A10^2+Inputs!$D$15*$A10*LOG($A10,2)+Inputs!$E$15*$A10+Inputs!$F$15)/Inputs!$C$5*1000000</f>
        <v>8.6986543409114407</v>
      </c>
      <c r="D10" s="12">
        <f>(Inputs!$C$16*$A10^2+Inputs!$D$16*$A10*LOG($A10,2)+Inputs!$E$16*$A10+Inputs!$F$16)/Inputs!$C$5*1000000</f>
        <v>1.5294117647058822</v>
      </c>
      <c r="E10" s="12">
        <f>(Inputs!$C$17*$A10^2+Inputs!$D$17*$A10*LOG($A10,2)+Inputs!$E$17*$A10+Inputs!$F$17)/Inputs!$C$5*1000000</f>
        <v>2.2941176470588234</v>
      </c>
      <c r="F10" s="12">
        <f>(Inputs!$C$18*$A10^2+Inputs!$D$18*$A10*LOG($A10,2)+Inputs!$E$18*$A10+Inputs!$F$18)/Inputs!$C$5*1000000</f>
        <v>4.7058823529411757</v>
      </c>
      <c r="G10" s="12">
        <f>(Inputs!$C$19*$A10^2+Inputs!$D$19*$A10*LOG($A10,2)+Inputs!$E$19*$A10+Inputs!$F$19)/Inputs!$C$5*1000000</f>
        <v>5.7058823529411766</v>
      </c>
      <c r="H10" s="12">
        <f>(Inputs!$C$20*$A10^2+Inputs!$D$20*$A10*LOG($A10,2)+Inputs!$E$20*$A10+Inputs!$F$20)/Inputs!$C$5*1000000</f>
        <v>1.2941176470588234</v>
      </c>
      <c r="I10" s="13">
        <f>1/(4*$A10*Inputs!$C$6)*1000000</f>
        <v>500</v>
      </c>
      <c r="J10" s="14">
        <f>Inputs!$C$7</f>
        <v>100</v>
      </c>
      <c r="K10" s="14">
        <f>Inputs!$C$8</f>
        <v>50</v>
      </c>
    </row>
    <row r="11" spans="1:11" x14ac:dyDescent="0.35">
      <c r="A11" s="10">
        <v>11</v>
      </c>
      <c r="B11" s="12">
        <f>(Inputs!$C$14*$A11^2+Inputs!$D$14*$A11*LOG($A11,2)+Inputs!$E$14*$A11+Inputs!$F$14)/Inputs!$C$5*1000000</f>
        <v>9.4823529411764707</v>
      </c>
      <c r="C11" s="12">
        <f>(Inputs!$C$15*$A11^2+Inputs!$D$15*$A11*LOG($A11,2)+Inputs!$E$15*$A11+Inputs!$F$15)/Inputs!$C$5*1000000</f>
        <v>9.89499948353183</v>
      </c>
      <c r="D11" s="12">
        <f>(Inputs!$C$16*$A11^2+Inputs!$D$16*$A11*LOG($A11,2)+Inputs!$E$16*$A11+Inputs!$F$16)/Inputs!$C$5*1000000</f>
        <v>1.5647058823529412</v>
      </c>
      <c r="E11" s="12">
        <f>(Inputs!$C$17*$A11^2+Inputs!$D$17*$A11*LOG($A11,2)+Inputs!$E$17*$A11+Inputs!$F$17)/Inputs!$C$5*1000000</f>
        <v>2.4058823529411764</v>
      </c>
      <c r="F11" s="12">
        <f>(Inputs!$C$18*$A11^2+Inputs!$D$18*$A11*LOG($A11,2)+Inputs!$E$18*$A11+Inputs!$F$18)/Inputs!$C$5*1000000</f>
        <v>4.7058823529411757</v>
      </c>
      <c r="G11" s="12">
        <f>(Inputs!$C$19*$A11^2+Inputs!$D$19*$A11*LOG($A11,2)+Inputs!$E$19*$A11+Inputs!$F$19)/Inputs!$C$5*1000000</f>
        <v>5.7058823529411766</v>
      </c>
      <c r="H11" s="12">
        <f>(Inputs!$C$20*$A11^2+Inputs!$D$20*$A11*LOG($A11,2)+Inputs!$E$20*$A11+Inputs!$F$20)/Inputs!$C$5*1000000</f>
        <v>1.2941176470588234</v>
      </c>
      <c r="I11" s="13">
        <f>1/(4*$A11*Inputs!$C$6)*1000000</f>
        <v>454.54545454545456</v>
      </c>
      <c r="J11" s="14">
        <f>Inputs!$C$7</f>
        <v>100</v>
      </c>
      <c r="K11" s="14">
        <f>Inputs!$C$8</f>
        <v>50</v>
      </c>
    </row>
    <row r="12" spans="1:11" x14ac:dyDescent="0.35">
      <c r="A12" s="10">
        <v>12</v>
      </c>
      <c r="B12" s="12">
        <f>(Inputs!$C$14*$A12^2+Inputs!$D$14*$A12*LOG($A12,2)+Inputs!$E$14*$A12+Inputs!$F$14)/Inputs!$C$5*1000000</f>
        <v>11.164705882352941</v>
      </c>
      <c r="C12" s="12">
        <f>(Inputs!$C$15*$A12^2+Inputs!$D$15*$A12*LOG($A12,2)+Inputs!$E$15*$A12+Inputs!$F$15)/Inputs!$C$5*1000000</f>
        <v>11.122247060859737</v>
      </c>
      <c r="D12" s="12">
        <f>(Inputs!$C$16*$A12^2+Inputs!$D$16*$A12*LOG($A12,2)+Inputs!$E$16*$A12+Inputs!$F$16)/Inputs!$C$5*1000000</f>
        <v>1.5999999999999999</v>
      </c>
      <c r="E12" s="12">
        <f>(Inputs!$C$17*$A12^2+Inputs!$D$17*$A12*LOG($A12,2)+Inputs!$E$17*$A12+Inputs!$F$17)/Inputs!$C$5*1000000</f>
        <v>2.5176470588235293</v>
      </c>
      <c r="F12" s="12">
        <f>(Inputs!$C$18*$A12^2+Inputs!$D$18*$A12*LOG($A12,2)+Inputs!$E$18*$A12+Inputs!$F$18)/Inputs!$C$5*1000000</f>
        <v>4.7058823529411757</v>
      </c>
      <c r="G12" s="12">
        <f>(Inputs!$C$19*$A12^2+Inputs!$D$19*$A12*LOG($A12,2)+Inputs!$E$19*$A12+Inputs!$F$19)/Inputs!$C$5*1000000</f>
        <v>5.7058823529411766</v>
      </c>
      <c r="H12" s="12">
        <f>(Inputs!$C$20*$A12^2+Inputs!$D$20*$A12*LOG($A12,2)+Inputs!$E$20*$A12+Inputs!$F$20)/Inputs!$C$5*1000000</f>
        <v>1.2941176470588234</v>
      </c>
      <c r="I12" s="13">
        <f>1/(4*$A12*Inputs!$C$6)*1000000</f>
        <v>416.66666666666669</v>
      </c>
      <c r="J12" s="14">
        <f>Inputs!$C$7</f>
        <v>100</v>
      </c>
      <c r="K12" s="14">
        <f>Inputs!$C$8</f>
        <v>50</v>
      </c>
    </row>
    <row r="13" spans="1:11" x14ac:dyDescent="0.35">
      <c r="A13" s="10">
        <v>13</v>
      </c>
      <c r="B13" s="12">
        <f>(Inputs!$C$14*$A13^2+Inputs!$D$14*$A13*LOG($A13,2)+Inputs!$E$14*$A13+Inputs!$F$14)/Inputs!$C$5*1000000</f>
        <v>12.988235294117647</v>
      </c>
      <c r="C13" s="12">
        <f>(Inputs!$C$15*$A13^2+Inputs!$D$15*$A13*LOG($A13,2)+Inputs!$E$15*$A13+Inputs!$F$15)/Inputs!$C$5*1000000</f>
        <v>12.377815608431577</v>
      </c>
      <c r="D13" s="12">
        <f>(Inputs!$C$16*$A13^2+Inputs!$D$16*$A13*LOG($A13,2)+Inputs!$E$16*$A13+Inputs!$F$16)/Inputs!$C$5*1000000</f>
        <v>1.6352941176470588</v>
      </c>
      <c r="E13" s="12">
        <f>(Inputs!$C$17*$A13^2+Inputs!$D$17*$A13*LOG($A13,2)+Inputs!$E$17*$A13+Inputs!$F$17)/Inputs!$C$5*1000000</f>
        <v>2.6294117647058823</v>
      </c>
      <c r="F13" s="12">
        <f>(Inputs!$C$18*$A13^2+Inputs!$D$18*$A13*LOG($A13,2)+Inputs!$E$18*$A13+Inputs!$F$18)/Inputs!$C$5*1000000</f>
        <v>4.7058823529411757</v>
      </c>
      <c r="G13" s="12">
        <f>(Inputs!$C$19*$A13^2+Inputs!$D$19*$A13*LOG($A13,2)+Inputs!$E$19*$A13+Inputs!$F$19)/Inputs!$C$5*1000000</f>
        <v>5.7058823529411766</v>
      </c>
      <c r="H13" s="12">
        <f>(Inputs!$C$20*$A13^2+Inputs!$D$20*$A13*LOG($A13,2)+Inputs!$E$20*$A13+Inputs!$F$20)/Inputs!$C$5*1000000</f>
        <v>1.2941176470588234</v>
      </c>
      <c r="I13" s="13">
        <f>1/(4*$A13*Inputs!$C$6)*1000000</f>
        <v>384.61538461538464</v>
      </c>
      <c r="J13" s="14">
        <f>Inputs!$C$7</f>
        <v>100</v>
      </c>
      <c r="K13" s="14">
        <f>Inputs!$C$8</f>
        <v>50</v>
      </c>
    </row>
    <row r="14" spans="1:11" x14ac:dyDescent="0.35">
      <c r="A14" s="10">
        <v>14</v>
      </c>
      <c r="B14" s="12">
        <f>(Inputs!$C$14*$A14^2+Inputs!$D$14*$A14*LOG($A14,2)+Inputs!$E$14*$A14+Inputs!$F$14)/Inputs!$C$5*1000000</f>
        <v>14.952941176470588</v>
      </c>
      <c r="C14" s="12">
        <f>(Inputs!$C$15*$A14^2+Inputs!$D$15*$A14*LOG($A14,2)+Inputs!$E$15*$A14+Inputs!$F$15)/Inputs!$C$5*1000000</f>
        <v>13.659522096189754</v>
      </c>
      <c r="D14" s="12">
        <f>(Inputs!$C$16*$A14^2+Inputs!$D$16*$A14*LOG($A14,2)+Inputs!$E$16*$A14+Inputs!$F$16)/Inputs!$C$5*1000000</f>
        <v>1.6705882352941177</v>
      </c>
      <c r="E14" s="12">
        <f>(Inputs!$C$17*$A14^2+Inputs!$D$17*$A14*LOG($A14,2)+Inputs!$E$17*$A14+Inputs!$F$17)/Inputs!$C$5*1000000</f>
        <v>2.7411764705882353</v>
      </c>
      <c r="F14" s="12">
        <f>(Inputs!$C$18*$A14^2+Inputs!$D$18*$A14*LOG($A14,2)+Inputs!$E$18*$A14+Inputs!$F$18)/Inputs!$C$5*1000000</f>
        <v>4.7058823529411757</v>
      </c>
      <c r="G14" s="12">
        <f>(Inputs!$C$19*$A14^2+Inputs!$D$19*$A14*LOG($A14,2)+Inputs!$E$19*$A14+Inputs!$F$19)/Inputs!$C$5*1000000</f>
        <v>5.7058823529411766</v>
      </c>
      <c r="H14" s="12">
        <f>(Inputs!$C$20*$A14^2+Inputs!$D$20*$A14*LOG($A14,2)+Inputs!$E$20*$A14+Inputs!$F$20)/Inputs!$C$5*1000000</f>
        <v>1.2941176470588234</v>
      </c>
      <c r="I14" s="13">
        <f>1/(4*$A14*Inputs!$C$6)*1000000</f>
        <v>357.14285714285717</v>
      </c>
      <c r="J14" s="14">
        <f>Inputs!$C$7</f>
        <v>100</v>
      </c>
      <c r="K14" s="14">
        <f>Inputs!$C$8</f>
        <v>50</v>
      </c>
    </row>
    <row r="15" spans="1:11" x14ac:dyDescent="0.35">
      <c r="A15" s="10">
        <v>15</v>
      </c>
      <c r="B15" s="12">
        <f>(Inputs!$C$14*$A15^2+Inputs!$D$14*$A15*LOG($A15,2)+Inputs!$E$14*$A15+Inputs!$F$14)/Inputs!$C$5*1000000</f>
        <v>17.058823529411764</v>
      </c>
      <c r="C15" s="12">
        <f>(Inputs!$C$15*$A15^2+Inputs!$D$15*$A15*LOG($A15,2)+Inputs!$E$15*$A15+Inputs!$F$15)/Inputs!$C$5*1000000</f>
        <v>14.965496219794773</v>
      </c>
      <c r="D15" s="12">
        <f>(Inputs!$C$16*$A15^2+Inputs!$D$16*$A15*LOG($A15,2)+Inputs!$E$16*$A15+Inputs!$F$16)/Inputs!$C$5*1000000</f>
        <v>1.7058823529411764</v>
      </c>
      <c r="E15" s="12">
        <f>(Inputs!$C$17*$A15^2+Inputs!$D$17*$A15*LOG($A15,2)+Inputs!$E$17*$A15+Inputs!$F$17)/Inputs!$C$5*1000000</f>
        <v>2.8529411764705883</v>
      </c>
      <c r="F15" s="12">
        <f>(Inputs!$C$18*$A15^2+Inputs!$D$18*$A15*LOG($A15,2)+Inputs!$E$18*$A15+Inputs!$F$18)/Inputs!$C$5*1000000</f>
        <v>4.7058823529411757</v>
      </c>
      <c r="G15" s="12">
        <f>(Inputs!$C$19*$A15^2+Inputs!$D$19*$A15*LOG($A15,2)+Inputs!$E$19*$A15+Inputs!$F$19)/Inputs!$C$5*1000000</f>
        <v>5.7058823529411766</v>
      </c>
      <c r="H15" s="12">
        <f>(Inputs!$C$20*$A15^2+Inputs!$D$20*$A15*LOG($A15,2)+Inputs!$E$20*$A15+Inputs!$F$20)/Inputs!$C$5*1000000</f>
        <v>1.2941176470588234</v>
      </c>
      <c r="I15" s="13">
        <f>1/(4*$A15*Inputs!$C$6)*1000000</f>
        <v>333.33333333333331</v>
      </c>
      <c r="J15" s="14">
        <f>Inputs!$C$7</f>
        <v>100</v>
      </c>
      <c r="K15" s="14">
        <f>Inputs!$C$8</f>
        <v>50</v>
      </c>
    </row>
    <row r="16" spans="1:11" x14ac:dyDescent="0.35">
      <c r="A16" s="10">
        <v>16</v>
      </c>
      <c r="B16" s="12">
        <f>(Inputs!$C$14*$A16^2+Inputs!$D$14*$A16*LOG($A16,2)+Inputs!$E$14*$A16+Inputs!$F$14)/Inputs!$C$5*1000000</f>
        <v>19.305882352941175</v>
      </c>
      <c r="C16" s="12">
        <f>(Inputs!$C$15*$A16^2+Inputs!$D$15*$A16*LOG($A16,2)+Inputs!$E$15*$A16+Inputs!$F$15)/Inputs!$C$5*1000000</f>
        <v>16.294117647058822</v>
      </c>
      <c r="D16" s="12">
        <f>(Inputs!$C$16*$A16^2+Inputs!$D$16*$A16*LOG($A16,2)+Inputs!$E$16*$A16+Inputs!$F$16)/Inputs!$C$5*1000000</f>
        <v>1.7411764705882353</v>
      </c>
      <c r="E16" s="12">
        <f>(Inputs!$C$17*$A16^2+Inputs!$D$17*$A16*LOG($A16,2)+Inputs!$E$17*$A16+Inputs!$F$17)/Inputs!$C$5*1000000</f>
        <v>2.9647058823529409</v>
      </c>
      <c r="F16" s="12">
        <f>(Inputs!$C$18*$A16^2+Inputs!$D$18*$A16*LOG($A16,2)+Inputs!$E$18*$A16+Inputs!$F$18)/Inputs!$C$5*1000000</f>
        <v>4.7058823529411757</v>
      </c>
      <c r="G16" s="12">
        <f>(Inputs!$C$19*$A16^2+Inputs!$D$19*$A16*LOG($A16,2)+Inputs!$E$19*$A16+Inputs!$F$19)/Inputs!$C$5*1000000</f>
        <v>5.7058823529411766</v>
      </c>
      <c r="H16" s="12">
        <f>(Inputs!$C$20*$A16^2+Inputs!$D$20*$A16*LOG($A16,2)+Inputs!$E$20*$A16+Inputs!$F$20)/Inputs!$C$5*1000000</f>
        <v>1.2941176470588234</v>
      </c>
      <c r="I16" s="13">
        <f>1/(4*$A16*Inputs!$C$6)*1000000</f>
        <v>312.5</v>
      </c>
      <c r="J16" s="14">
        <f>Inputs!$C$7</f>
        <v>100</v>
      </c>
      <c r="K16" s="14">
        <f>Inputs!$C$8</f>
        <v>50</v>
      </c>
    </row>
    <row r="17" spans="1:11" x14ac:dyDescent="0.35">
      <c r="A17" s="10">
        <v>18</v>
      </c>
      <c r="B17" s="12">
        <f>(Inputs!$C$14*$A17^2+Inputs!$D$14*$A17*LOG($A17,2)+Inputs!$E$14*$A17+Inputs!$F$14)/Inputs!$C$5*1000000</f>
        <v>24.223529411764705</v>
      </c>
      <c r="C17" s="12">
        <f>(Inputs!$C$15*$A17^2+Inputs!$D$15*$A17*LOG($A17,2)+Inputs!$E$15*$A17+Inputs!$F$15)/Inputs!$C$5*1000000</f>
        <v>19.013800006108617</v>
      </c>
      <c r="D17" s="12">
        <f>(Inputs!$C$16*$A17^2+Inputs!$D$16*$A17*LOG($A17,2)+Inputs!$E$16*$A17+Inputs!$F$16)/Inputs!$C$5*1000000</f>
        <v>1.8117647058823529</v>
      </c>
      <c r="E17" s="12">
        <f>(Inputs!$C$17*$A17^2+Inputs!$D$17*$A17*LOG($A17,2)+Inputs!$E$17*$A17+Inputs!$F$17)/Inputs!$C$5*1000000</f>
        <v>3.1882352941176473</v>
      </c>
      <c r="F17" s="12">
        <f>(Inputs!$C$18*$A17^2+Inputs!$D$18*$A17*LOG($A17,2)+Inputs!$E$18*$A17+Inputs!$F$18)/Inputs!$C$5*1000000</f>
        <v>4.7058823529411757</v>
      </c>
      <c r="G17" s="12">
        <f>(Inputs!$C$19*$A17^2+Inputs!$D$19*$A17*LOG($A17,2)+Inputs!$E$19*$A17+Inputs!$F$19)/Inputs!$C$5*1000000</f>
        <v>5.7058823529411766</v>
      </c>
      <c r="H17" s="12">
        <f>(Inputs!$C$20*$A17^2+Inputs!$D$20*$A17*LOG($A17,2)+Inputs!$E$20*$A17+Inputs!$F$20)/Inputs!$C$5*1000000</f>
        <v>1.2941176470588234</v>
      </c>
      <c r="I17" s="13">
        <f>1/(4*$A17*Inputs!$C$6)*1000000</f>
        <v>277.77777777777777</v>
      </c>
      <c r="J17" s="14">
        <f>Inputs!$C$7</f>
        <v>100</v>
      </c>
      <c r="K17" s="14">
        <f>Inputs!$C$8</f>
        <v>50</v>
      </c>
    </row>
    <row r="18" spans="1:11" x14ac:dyDescent="0.35">
      <c r="A18" s="10">
        <v>19</v>
      </c>
      <c r="B18" s="12">
        <f>(Inputs!$C$14*$A18^2+Inputs!$D$14*$A18*LOG($A18,2)+Inputs!$E$14*$A18+Inputs!$F$14)/Inputs!$C$5*1000000</f>
        <v>26.894117647058824</v>
      </c>
      <c r="C18" s="12">
        <f>(Inputs!$C$15*$A18^2+Inputs!$D$15*$A18*LOG($A18,2)+Inputs!$E$15*$A18+Inputs!$F$15)/Inputs!$C$5*1000000</f>
        <v>20.40249947186544</v>
      </c>
      <c r="D18" s="12">
        <f>(Inputs!$C$16*$A18^2+Inputs!$D$16*$A18*LOG($A18,2)+Inputs!$E$16*$A18+Inputs!$F$16)/Inputs!$C$5*1000000</f>
        <v>1.8470588235294119</v>
      </c>
      <c r="E18" s="12">
        <f>(Inputs!$C$17*$A18^2+Inputs!$D$17*$A18*LOG($A18,2)+Inputs!$E$17*$A18+Inputs!$F$17)/Inputs!$C$5*1000000</f>
        <v>3.3000000000000003</v>
      </c>
      <c r="F18" s="12">
        <f>(Inputs!$C$18*$A18^2+Inputs!$D$18*$A18*LOG($A18,2)+Inputs!$E$18*$A18+Inputs!$F$18)/Inputs!$C$5*1000000</f>
        <v>4.7058823529411757</v>
      </c>
      <c r="G18" s="12">
        <f>(Inputs!$C$19*$A18^2+Inputs!$D$19*$A18*LOG($A18,2)+Inputs!$E$19*$A18+Inputs!$F$19)/Inputs!$C$5*1000000</f>
        <v>5.7058823529411766</v>
      </c>
      <c r="H18" s="12">
        <f>(Inputs!$C$20*$A18^2+Inputs!$D$20*$A18*LOG($A18,2)+Inputs!$E$20*$A18+Inputs!$F$20)/Inputs!$C$5*1000000</f>
        <v>1.2941176470588234</v>
      </c>
      <c r="I18" s="13">
        <f>1/(4*$A18*Inputs!$C$6)*1000000</f>
        <v>263.15789473684208</v>
      </c>
      <c r="J18" s="14">
        <f>Inputs!$C$7</f>
        <v>100</v>
      </c>
      <c r="K18" s="14">
        <f>Inputs!$C$8</f>
        <v>50</v>
      </c>
    </row>
    <row r="19" spans="1:11" x14ac:dyDescent="0.35">
      <c r="A19" s="10">
        <v>20</v>
      </c>
      <c r="B19" s="12">
        <f>(Inputs!$C$14*$A19^2+Inputs!$D$14*$A19*LOG($A19,2)+Inputs!$E$14*$A19+Inputs!$F$14)/Inputs!$C$5*1000000</f>
        <v>29.705882352941178</v>
      </c>
      <c r="C19" s="12">
        <f>(Inputs!$C$15*$A19^2+Inputs!$D$15*$A19*LOG($A19,2)+Inputs!$E$15*$A19+Inputs!$F$15)/Inputs!$C$5*1000000</f>
        <v>21.809073387705237</v>
      </c>
      <c r="D19" s="12">
        <f>(Inputs!$C$16*$A19^2+Inputs!$D$16*$A19*LOG($A19,2)+Inputs!$E$16*$A19+Inputs!$F$16)/Inputs!$C$5*1000000</f>
        <v>1.8823529411764708</v>
      </c>
      <c r="E19" s="12">
        <f>(Inputs!$C$17*$A19^2+Inputs!$D$17*$A19*LOG($A19,2)+Inputs!$E$17*$A19+Inputs!$F$17)/Inputs!$C$5*1000000</f>
        <v>3.4117647058823528</v>
      </c>
      <c r="F19" s="12">
        <f>(Inputs!$C$18*$A19^2+Inputs!$D$18*$A19*LOG($A19,2)+Inputs!$E$18*$A19+Inputs!$F$18)/Inputs!$C$5*1000000</f>
        <v>4.7058823529411757</v>
      </c>
      <c r="G19" s="12">
        <f>(Inputs!$C$19*$A19^2+Inputs!$D$19*$A19*LOG($A19,2)+Inputs!$E$19*$A19+Inputs!$F$19)/Inputs!$C$5*1000000</f>
        <v>5.7058823529411766</v>
      </c>
      <c r="H19" s="12">
        <f>(Inputs!$C$20*$A19^2+Inputs!$D$20*$A19*LOG($A19,2)+Inputs!$E$20*$A19+Inputs!$F$20)/Inputs!$C$5*1000000</f>
        <v>1.2941176470588234</v>
      </c>
      <c r="I19" s="13">
        <f>1/(4*$A19*Inputs!$C$6)*1000000</f>
        <v>250</v>
      </c>
      <c r="J19" s="14">
        <f>Inputs!$C$7</f>
        <v>100</v>
      </c>
      <c r="K19" s="14">
        <f>Inputs!$C$8</f>
        <v>50</v>
      </c>
    </row>
    <row r="20" spans="1:11" x14ac:dyDescent="0.35">
      <c r="A20" s="10">
        <v>22</v>
      </c>
      <c r="B20" s="12">
        <f>(Inputs!$C$14*$A20^2+Inputs!$D$14*$A20*LOG($A20,2)+Inputs!$E$14*$A20+Inputs!$F$14)/Inputs!$C$5*1000000</f>
        <v>35.752941176470586</v>
      </c>
      <c r="C20" s="12">
        <f>(Inputs!$C$15*$A20^2+Inputs!$D$15*$A20*LOG($A20,2)+Inputs!$E$15*$A20+Inputs!$F$15)/Inputs!$C$5*1000000</f>
        <v>24.672351908240124</v>
      </c>
      <c r="D20" s="12">
        <f>(Inputs!$C$16*$A20^2+Inputs!$D$16*$A20*LOG($A20,2)+Inputs!$E$16*$A20+Inputs!$F$16)/Inputs!$C$5*1000000</f>
        <v>1.952941176470588</v>
      </c>
      <c r="E20" s="12">
        <f>(Inputs!$C$17*$A20^2+Inputs!$D$17*$A20*LOG($A20,2)+Inputs!$E$17*$A20+Inputs!$F$17)/Inputs!$C$5*1000000</f>
        <v>3.6352941176470588</v>
      </c>
      <c r="F20" s="12">
        <f>(Inputs!$C$18*$A20^2+Inputs!$D$18*$A20*LOG($A20,2)+Inputs!$E$18*$A20+Inputs!$F$18)/Inputs!$C$5*1000000</f>
        <v>4.7058823529411757</v>
      </c>
      <c r="G20" s="12">
        <f>(Inputs!$C$19*$A20^2+Inputs!$D$19*$A20*LOG($A20,2)+Inputs!$E$19*$A20+Inputs!$F$19)/Inputs!$C$5*1000000</f>
        <v>5.7058823529411766</v>
      </c>
      <c r="H20" s="12">
        <f>(Inputs!$C$20*$A20^2+Inputs!$D$20*$A20*LOG($A20,2)+Inputs!$E$20*$A20+Inputs!$F$20)/Inputs!$C$5*1000000</f>
        <v>1.2941176470588234</v>
      </c>
      <c r="I20" s="13">
        <f>1/(4*$A20*Inputs!$C$6)*1000000</f>
        <v>227.27272727272728</v>
      </c>
      <c r="J20" s="14">
        <f>Inputs!$C$7</f>
        <v>100</v>
      </c>
      <c r="K20" s="14">
        <f>Inputs!$C$8</f>
        <v>50</v>
      </c>
    </row>
    <row r="21" spans="1:11" x14ac:dyDescent="0.35">
      <c r="A21" s="10">
        <v>23</v>
      </c>
      <c r="B21" s="12">
        <f>(Inputs!$C$14*$A21^2+Inputs!$D$14*$A21*LOG($A21,2)+Inputs!$E$14*$A21+Inputs!$F$14)/Inputs!$C$5*1000000</f>
        <v>38.988235294117644</v>
      </c>
      <c r="C21" s="12">
        <f>(Inputs!$C$15*$A21^2+Inputs!$D$15*$A21*LOG($A21,2)+Inputs!$E$15*$A21+Inputs!$F$15)/Inputs!$C$5*1000000</f>
        <v>26.127511762190892</v>
      </c>
      <c r="D21" s="12">
        <f>(Inputs!$C$16*$A21^2+Inputs!$D$16*$A21*LOG($A21,2)+Inputs!$E$16*$A21+Inputs!$F$16)/Inputs!$C$5*1000000</f>
        <v>1.9882352941176471</v>
      </c>
      <c r="E21" s="12">
        <f>(Inputs!$C$17*$A21^2+Inputs!$D$17*$A21*LOG($A21,2)+Inputs!$E$17*$A21+Inputs!$F$17)/Inputs!$C$5*1000000</f>
        <v>3.7470588235294118</v>
      </c>
      <c r="F21" s="12">
        <f>(Inputs!$C$18*$A21^2+Inputs!$D$18*$A21*LOG($A21,2)+Inputs!$E$18*$A21+Inputs!$F$18)/Inputs!$C$5*1000000</f>
        <v>4.7058823529411757</v>
      </c>
      <c r="G21" s="12">
        <f>(Inputs!$C$19*$A21^2+Inputs!$D$19*$A21*LOG($A21,2)+Inputs!$E$19*$A21+Inputs!$F$19)/Inputs!$C$5*1000000</f>
        <v>5.7058823529411766</v>
      </c>
      <c r="H21" s="12">
        <f>(Inputs!$C$20*$A21^2+Inputs!$D$20*$A21*LOG($A21,2)+Inputs!$E$20*$A21+Inputs!$F$20)/Inputs!$C$5*1000000</f>
        <v>1.2941176470588234</v>
      </c>
      <c r="I21" s="13">
        <f>1/(4*$A21*Inputs!$C$6)*1000000</f>
        <v>217.39130434782609</v>
      </c>
      <c r="J21" s="14">
        <f>Inputs!$C$7</f>
        <v>100</v>
      </c>
      <c r="K21" s="14">
        <f>Inputs!$C$8</f>
        <v>50</v>
      </c>
    </row>
    <row r="22" spans="1:11" x14ac:dyDescent="0.35">
      <c r="A22" s="10">
        <v>25</v>
      </c>
      <c r="B22" s="12">
        <f>(Inputs!$C$14*$A22^2+Inputs!$D$14*$A22*LOG($A22,2)+Inputs!$E$14*$A22+Inputs!$F$14)/Inputs!$C$5*1000000</f>
        <v>45.882352941176471</v>
      </c>
      <c r="C22" s="12">
        <f>(Inputs!$C$15*$A22^2+Inputs!$D$15*$A22*LOG($A22,2)+Inputs!$E$15*$A22+Inputs!$F$15)/Inputs!$C$5*1000000</f>
        <v>29.081506998674847</v>
      </c>
      <c r="D22" s="12">
        <f>(Inputs!$C$16*$A22^2+Inputs!$D$16*$A22*LOG($A22,2)+Inputs!$E$16*$A22+Inputs!$F$16)/Inputs!$C$5*1000000</f>
        <v>2.0588235294117645</v>
      </c>
      <c r="E22" s="12">
        <f>(Inputs!$C$17*$A22^2+Inputs!$D$17*$A22*LOG($A22,2)+Inputs!$E$17*$A22+Inputs!$F$17)/Inputs!$C$5*1000000</f>
        <v>3.9705882352941173</v>
      </c>
      <c r="F22" s="12">
        <f>(Inputs!$C$18*$A22^2+Inputs!$D$18*$A22*LOG($A22,2)+Inputs!$E$18*$A22+Inputs!$F$18)/Inputs!$C$5*1000000</f>
        <v>4.7058823529411757</v>
      </c>
      <c r="G22" s="12">
        <f>(Inputs!$C$19*$A22^2+Inputs!$D$19*$A22*LOG($A22,2)+Inputs!$E$19*$A22+Inputs!$F$19)/Inputs!$C$5*1000000</f>
        <v>5.7058823529411766</v>
      </c>
      <c r="H22" s="12">
        <f>(Inputs!$C$20*$A22^2+Inputs!$D$20*$A22*LOG($A22,2)+Inputs!$E$20*$A22+Inputs!$F$20)/Inputs!$C$5*1000000</f>
        <v>1.2941176470588234</v>
      </c>
      <c r="I22" s="13">
        <f>1/(4*$A22*Inputs!$C$6)*1000000</f>
        <v>200</v>
      </c>
      <c r="J22" s="14">
        <f>Inputs!$C$7</f>
        <v>100</v>
      </c>
      <c r="K22" s="14">
        <f>Inputs!$C$8</f>
        <v>50</v>
      </c>
    </row>
    <row r="23" spans="1:11" x14ac:dyDescent="0.35">
      <c r="A23" s="10">
        <v>27</v>
      </c>
      <c r="B23" s="12">
        <f>(Inputs!$C$14*$A23^2+Inputs!$D$14*$A23*LOG($A23,2)+Inputs!$E$14*$A23+Inputs!$F$14)/Inputs!$C$5*1000000</f>
        <v>53.341176470588231</v>
      </c>
      <c r="C23" s="12">
        <f>(Inputs!$C$15*$A23^2+Inputs!$D$15*$A23*LOG($A23,2)+Inputs!$E$15*$A23+Inputs!$F$15)/Inputs!$C$5*1000000</f>
        <v>32.089873543156159</v>
      </c>
      <c r="D23" s="12">
        <f>(Inputs!$C$16*$A23^2+Inputs!$D$16*$A23*LOG($A23,2)+Inputs!$E$16*$A23+Inputs!$F$16)/Inputs!$C$5*1000000</f>
        <v>2.1294117647058823</v>
      </c>
      <c r="E23" s="12">
        <f>(Inputs!$C$17*$A23^2+Inputs!$D$17*$A23*LOG($A23,2)+Inputs!$E$17*$A23+Inputs!$F$17)/Inputs!$C$5*1000000</f>
        <v>4.1941176470588237</v>
      </c>
      <c r="F23" s="12">
        <f>(Inputs!$C$18*$A23^2+Inputs!$D$18*$A23*LOG($A23,2)+Inputs!$E$18*$A23+Inputs!$F$18)/Inputs!$C$5*1000000</f>
        <v>4.7058823529411757</v>
      </c>
      <c r="G23" s="12">
        <f>(Inputs!$C$19*$A23^2+Inputs!$D$19*$A23*LOG($A23,2)+Inputs!$E$19*$A23+Inputs!$F$19)/Inputs!$C$5*1000000</f>
        <v>5.7058823529411766</v>
      </c>
      <c r="H23" s="12">
        <f>(Inputs!$C$20*$A23^2+Inputs!$D$20*$A23*LOG($A23,2)+Inputs!$E$20*$A23+Inputs!$F$20)/Inputs!$C$5*1000000</f>
        <v>1.2941176470588234</v>
      </c>
      <c r="I23" s="13">
        <f>1/(4*$A23*Inputs!$C$6)*1000000</f>
        <v>185.18518518518516</v>
      </c>
      <c r="J23" s="14">
        <f>Inputs!$C$7</f>
        <v>100</v>
      </c>
      <c r="K23" s="14">
        <f>Inputs!$C$8</f>
        <v>50</v>
      </c>
    </row>
    <row r="24" spans="1:11" x14ac:dyDescent="0.35">
      <c r="A24" s="10">
        <v>29</v>
      </c>
      <c r="B24" s="12">
        <f>(Inputs!$C$14*$A24^2+Inputs!$D$14*$A24*LOG($A24,2)+Inputs!$E$14*$A24+Inputs!$F$14)/Inputs!$C$5*1000000</f>
        <v>61.364705882352936</v>
      </c>
      <c r="C24" s="12">
        <f>(Inputs!$C$15*$A24^2+Inputs!$D$15*$A24*LOG($A24,2)+Inputs!$E$15*$A24+Inputs!$F$15)/Inputs!$C$5*1000000</f>
        <v>35.148576202046968</v>
      </c>
      <c r="D24" s="12">
        <f>(Inputs!$C$16*$A24^2+Inputs!$D$16*$A24*LOG($A24,2)+Inputs!$E$16*$A24+Inputs!$F$16)/Inputs!$C$5*1000000</f>
        <v>2.2000000000000002</v>
      </c>
      <c r="E24" s="12">
        <f>(Inputs!$C$17*$A24^2+Inputs!$D$17*$A24*LOG($A24,2)+Inputs!$E$17*$A24+Inputs!$F$17)/Inputs!$C$5*1000000</f>
        <v>4.4176470588235297</v>
      </c>
      <c r="F24" s="12">
        <f>(Inputs!$C$18*$A24^2+Inputs!$D$18*$A24*LOG($A24,2)+Inputs!$E$18*$A24+Inputs!$F$18)/Inputs!$C$5*1000000</f>
        <v>4.7058823529411757</v>
      </c>
      <c r="G24" s="12">
        <f>(Inputs!$C$19*$A24^2+Inputs!$D$19*$A24*LOG($A24,2)+Inputs!$E$19*$A24+Inputs!$F$19)/Inputs!$C$5*1000000</f>
        <v>5.7058823529411766</v>
      </c>
      <c r="H24" s="12">
        <f>(Inputs!$C$20*$A24^2+Inputs!$D$20*$A24*LOG($A24,2)+Inputs!$E$20*$A24+Inputs!$F$20)/Inputs!$C$5*1000000</f>
        <v>1.2941176470588234</v>
      </c>
      <c r="I24" s="13">
        <f>1/(4*$A24*Inputs!$C$6)*1000000</f>
        <v>172.41379310344826</v>
      </c>
      <c r="J24" s="14">
        <f>Inputs!$C$7</f>
        <v>100</v>
      </c>
      <c r="K24" s="14">
        <f>Inputs!$C$8</f>
        <v>50</v>
      </c>
    </row>
    <row r="25" spans="1:11" x14ac:dyDescent="0.35">
      <c r="A25" s="10">
        <v>31</v>
      </c>
      <c r="B25" s="12">
        <f>(Inputs!$C$14*$A25^2+Inputs!$D$14*$A25*LOG($A25,2)+Inputs!$E$14*$A25+Inputs!$F$14)/Inputs!$C$5*1000000</f>
        <v>69.952941176470588</v>
      </c>
      <c r="C25" s="12">
        <f>(Inputs!$C$15*$A25^2+Inputs!$D$15*$A25*LOG($A25,2)+Inputs!$E$15*$A25+Inputs!$F$15)/Inputs!$C$5*1000000</f>
        <v>38.254137793410159</v>
      </c>
      <c r="D25" s="12">
        <f>(Inputs!$C$16*$A25^2+Inputs!$D$16*$A25*LOG($A25,2)+Inputs!$E$16*$A25+Inputs!$F$16)/Inputs!$C$5*1000000</f>
        <v>2.2705882352941176</v>
      </c>
      <c r="E25" s="12">
        <f>(Inputs!$C$17*$A25^2+Inputs!$D$17*$A25*LOG($A25,2)+Inputs!$E$17*$A25+Inputs!$F$17)/Inputs!$C$5*1000000</f>
        <v>4.6411764705882357</v>
      </c>
      <c r="F25" s="12">
        <f>(Inputs!$C$18*$A25^2+Inputs!$D$18*$A25*LOG($A25,2)+Inputs!$E$18*$A25+Inputs!$F$18)/Inputs!$C$5*1000000</f>
        <v>4.7058823529411757</v>
      </c>
      <c r="G25" s="12">
        <f>(Inputs!$C$19*$A25^2+Inputs!$D$19*$A25*LOG($A25,2)+Inputs!$E$19*$A25+Inputs!$F$19)/Inputs!$C$5*1000000</f>
        <v>5.7058823529411766</v>
      </c>
      <c r="H25" s="12">
        <f>(Inputs!$C$20*$A25^2+Inputs!$D$20*$A25*LOG($A25,2)+Inputs!$E$20*$A25+Inputs!$F$20)/Inputs!$C$5*1000000</f>
        <v>1.2941176470588234</v>
      </c>
      <c r="I25" s="13">
        <f>1/(4*$A25*Inputs!$C$6)*1000000</f>
        <v>161.29032258064515</v>
      </c>
      <c r="J25" s="14">
        <f>Inputs!$C$7</f>
        <v>100</v>
      </c>
      <c r="K25" s="14">
        <f>Inputs!$C$8</f>
        <v>50</v>
      </c>
    </row>
    <row r="26" spans="1:11" x14ac:dyDescent="0.35">
      <c r="A26" s="10">
        <v>32</v>
      </c>
      <c r="B26" s="12">
        <f>(Inputs!$C$14*$A26^2+Inputs!$D$14*$A26*LOG($A26,2)+Inputs!$E$14*$A26+Inputs!$F$14)/Inputs!$C$5*1000000</f>
        <v>74.45882352941176</v>
      </c>
      <c r="C26" s="12">
        <f>(Inputs!$C$15*$A26^2+Inputs!$D$15*$A26*LOG($A26,2)+Inputs!$E$15*$A26+Inputs!$F$15)/Inputs!$C$5*1000000</f>
        <v>39.823529411764703</v>
      </c>
      <c r="D26" s="12">
        <f>(Inputs!$C$16*$A26^2+Inputs!$D$16*$A26*LOG($A26,2)+Inputs!$E$16*$A26+Inputs!$F$16)/Inputs!$C$5*1000000</f>
        <v>2.3058823529411767</v>
      </c>
      <c r="E26" s="12">
        <f>(Inputs!$C$17*$A26^2+Inputs!$D$17*$A26*LOG($A26,2)+Inputs!$E$17*$A26+Inputs!$F$17)/Inputs!$C$5*1000000</f>
        <v>4.7529411764705882</v>
      </c>
      <c r="F26" s="12">
        <f>(Inputs!$C$18*$A26^2+Inputs!$D$18*$A26*LOG($A26,2)+Inputs!$E$18*$A26+Inputs!$F$18)/Inputs!$C$5*1000000</f>
        <v>4.7058823529411757</v>
      </c>
      <c r="G26" s="12">
        <f>(Inputs!$C$19*$A26^2+Inputs!$D$19*$A26*LOG($A26,2)+Inputs!$E$19*$A26+Inputs!$F$19)/Inputs!$C$5*1000000</f>
        <v>5.7058823529411766</v>
      </c>
      <c r="H26" s="12">
        <f>(Inputs!$C$20*$A26^2+Inputs!$D$20*$A26*LOG($A26,2)+Inputs!$E$20*$A26+Inputs!$F$20)/Inputs!$C$5*1000000</f>
        <v>1.2941176470588234</v>
      </c>
      <c r="I26" s="13">
        <f>1/(4*$A26*Inputs!$C$6)*1000000</f>
        <v>156.25</v>
      </c>
      <c r="J26" s="14">
        <f>Inputs!$C$7</f>
        <v>100</v>
      </c>
      <c r="K26" s="14">
        <f>Inputs!$C$8</f>
        <v>50</v>
      </c>
    </row>
    <row r="27" spans="1:11" x14ac:dyDescent="0.35">
      <c r="A27" s="10">
        <v>33</v>
      </c>
      <c r="B27" s="12">
        <f>(Inputs!$C$14*$A27^2+Inputs!$D$14*$A27*LOG($A27,2)+Inputs!$E$14*$A27+Inputs!$F$14)/Inputs!$C$5*1000000</f>
        <v>79.10588235294118</v>
      </c>
      <c r="C27" s="12">
        <f>(Inputs!$C$15*$A27^2+Inputs!$D$15*$A27*LOG($A27,2)+Inputs!$E$15*$A27+Inputs!$F$15)/Inputs!$C$5*1000000</f>
        <v>41.403530809136235</v>
      </c>
      <c r="D27" s="12">
        <f>(Inputs!$C$16*$A27^2+Inputs!$D$16*$A27*LOG($A27,2)+Inputs!$E$16*$A27+Inputs!$F$16)/Inputs!$C$5*1000000</f>
        <v>2.3411764705882354</v>
      </c>
      <c r="E27" s="12">
        <f>(Inputs!$C$17*$A27^2+Inputs!$D$17*$A27*LOG($A27,2)+Inputs!$E$17*$A27+Inputs!$F$17)/Inputs!$C$5*1000000</f>
        <v>4.8647058823529408</v>
      </c>
      <c r="F27" s="12">
        <f>(Inputs!$C$18*$A27^2+Inputs!$D$18*$A27*LOG($A27,2)+Inputs!$E$18*$A27+Inputs!$F$18)/Inputs!$C$5*1000000</f>
        <v>4.7058823529411757</v>
      </c>
      <c r="G27" s="12">
        <f>(Inputs!$C$19*$A27^2+Inputs!$D$19*$A27*LOG($A27,2)+Inputs!$E$19*$A27+Inputs!$F$19)/Inputs!$C$5*1000000</f>
        <v>5.7058823529411766</v>
      </c>
      <c r="H27" s="12">
        <f>(Inputs!$C$20*$A27^2+Inputs!$D$20*$A27*LOG($A27,2)+Inputs!$E$20*$A27+Inputs!$F$20)/Inputs!$C$5*1000000</f>
        <v>1.2941176470588234</v>
      </c>
      <c r="I27" s="13">
        <f>1/(4*$A27*Inputs!$C$6)*1000000</f>
        <v>151.5151515151515</v>
      </c>
      <c r="J27" s="14">
        <f>Inputs!$C$7</f>
        <v>100</v>
      </c>
      <c r="K27" s="14">
        <f>Inputs!$C$8</f>
        <v>50</v>
      </c>
    </row>
    <row r="28" spans="1:11" x14ac:dyDescent="0.35">
      <c r="A28" s="10">
        <v>36</v>
      </c>
      <c r="B28" s="12">
        <f>(Inputs!$C$14*$A28^2+Inputs!$D$14*$A28*LOG($A28,2)+Inputs!$E$14*$A28+Inputs!$F$14)/Inputs!$C$5*1000000</f>
        <v>93.89411764705882</v>
      </c>
      <c r="C28" s="12">
        <f>(Inputs!$C$15*$A28^2+Inputs!$D$15*$A28*LOG($A28,2)+Inputs!$E$15*$A28+Inputs!$F$15)/Inputs!$C$5*1000000</f>
        <v>46.204070600452525</v>
      </c>
      <c r="D28" s="12">
        <f>(Inputs!$C$16*$A28^2+Inputs!$D$16*$A28*LOG($A28,2)+Inputs!$E$16*$A28+Inputs!$F$16)/Inputs!$C$5*1000000</f>
        <v>2.447058823529412</v>
      </c>
      <c r="E28" s="12">
        <f>(Inputs!$C$17*$A28^2+Inputs!$D$17*$A28*LOG($A28,2)+Inputs!$E$17*$A28+Inputs!$F$17)/Inputs!$C$5*1000000</f>
        <v>5.2</v>
      </c>
      <c r="F28" s="12">
        <f>(Inputs!$C$18*$A28^2+Inputs!$D$18*$A28*LOG($A28,2)+Inputs!$E$18*$A28+Inputs!$F$18)/Inputs!$C$5*1000000</f>
        <v>4.7058823529411757</v>
      </c>
      <c r="G28" s="12">
        <f>(Inputs!$C$19*$A28^2+Inputs!$D$19*$A28*LOG($A28,2)+Inputs!$E$19*$A28+Inputs!$F$19)/Inputs!$C$5*1000000</f>
        <v>5.7058823529411766</v>
      </c>
      <c r="H28" s="12">
        <f>(Inputs!$C$20*$A28^2+Inputs!$D$20*$A28*LOG($A28,2)+Inputs!$E$20*$A28+Inputs!$F$20)/Inputs!$C$5*1000000</f>
        <v>1.2941176470588234</v>
      </c>
      <c r="I28" s="13">
        <f>1/(4*$A28*Inputs!$C$6)*1000000</f>
        <v>138.88888888888889</v>
      </c>
      <c r="J28" s="14">
        <f>Inputs!$C$7</f>
        <v>100</v>
      </c>
      <c r="K28" s="14">
        <f>Inputs!$C$8</f>
        <v>50</v>
      </c>
    </row>
    <row r="29" spans="1:11" x14ac:dyDescent="0.35">
      <c r="A29" s="10">
        <v>38</v>
      </c>
      <c r="B29" s="12">
        <f>(Inputs!$C$14*$A29^2+Inputs!$D$14*$A29*LOG($A29,2)+Inputs!$E$14*$A29+Inputs!$F$14)/Inputs!$C$5*1000000</f>
        <v>104.45882352941176</v>
      </c>
      <c r="C29" s="12">
        <f>(Inputs!$C$15*$A29^2+Inputs!$D$15*$A29*LOG($A29,2)+Inputs!$E$15*$A29+Inputs!$F$15)/Inputs!$C$5*1000000</f>
        <v>49.452057767260293</v>
      </c>
      <c r="D29" s="12">
        <f>(Inputs!$C$16*$A29^2+Inputs!$D$16*$A29*LOG($A29,2)+Inputs!$E$16*$A29+Inputs!$F$16)/Inputs!$C$5*1000000</f>
        <v>2.5176470588235293</v>
      </c>
      <c r="E29" s="12">
        <f>(Inputs!$C$17*$A29^2+Inputs!$D$17*$A29*LOG($A29,2)+Inputs!$E$17*$A29+Inputs!$F$17)/Inputs!$C$5*1000000</f>
        <v>5.4235294117647053</v>
      </c>
      <c r="F29" s="12">
        <f>(Inputs!$C$18*$A29^2+Inputs!$D$18*$A29*LOG($A29,2)+Inputs!$E$18*$A29+Inputs!$F$18)/Inputs!$C$5*1000000</f>
        <v>4.7058823529411757</v>
      </c>
      <c r="G29" s="12">
        <f>(Inputs!$C$19*$A29^2+Inputs!$D$19*$A29*LOG($A29,2)+Inputs!$E$19*$A29+Inputs!$F$19)/Inputs!$C$5*1000000</f>
        <v>5.7058823529411766</v>
      </c>
      <c r="H29" s="12">
        <f>(Inputs!$C$20*$A29^2+Inputs!$D$20*$A29*LOG($A29,2)+Inputs!$E$20*$A29+Inputs!$F$20)/Inputs!$C$5*1000000</f>
        <v>1.2941176470588234</v>
      </c>
      <c r="I29" s="13">
        <f>1/(4*$A29*Inputs!$C$6)*1000000</f>
        <v>131.57894736842104</v>
      </c>
      <c r="J29" s="14">
        <f>Inputs!$C$7</f>
        <v>100</v>
      </c>
      <c r="K29" s="14">
        <f>Inputs!$C$8</f>
        <v>50</v>
      </c>
    </row>
    <row r="30" spans="1:11" x14ac:dyDescent="0.35">
      <c r="A30" s="10">
        <v>41</v>
      </c>
      <c r="B30" s="12">
        <f>(Inputs!$C$14*$A30^2+Inputs!$D$14*$A30*LOG($A30,2)+Inputs!$E$14*$A30+Inputs!$F$14)/Inputs!$C$5*1000000</f>
        <v>121.36470588235295</v>
      </c>
      <c r="C30" s="12">
        <f>(Inputs!$C$15*$A30^2+Inputs!$D$15*$A30*LOG($A30,2)+Inputs!$E$15*$A30+Inputs!$F$15)/Inputs!$C$5*1000000</f>
        <v>54.390501691609749</v>
      </c>
      <c r="D30" s="12">
        <f>(Inputs!$C$16*$A30^2+Inputs!$D$16*$A30*LOG($A30,2)+Inputs!$E$16*$A30+Inputs!$F$16)/Inputs!$C$5*1000000</f>
        <v>2.6235294117647059</v>
      </c>
      <c r="E30" s="12">
        <f>(Inputs!$C$17*$A30^2+Inputs!$D$17*$A30*LOG($A30,2)+Inputs!$E$17*$A30+Inputs!$F$17)/Inputs!$C$5*1000000</f>
        <v>5.7588235294117647</v>
      </c>
      <c r="F30" s="12">
        <f>(Inputs!$C$18*$A30^2+Inputs!$D$18*$A30*LOG($A30,2)+Inputs!$E$18*$A30+Inputs!$F$18)/Inputs!$C$5*1000000</f>
        <v>4.7058823529411757</v>
      </c>
      <c r="G30" s="12">
        <f>(Inputs!$C$19*$A30^2+Inputs!$D$19*$A30*LOG($A30,2)+Inputs!$E$19*$A30+Inputs!$F$19)/Inputs!$C$5*1000000</f>
        <v>5.7058823529411766</v>
      </c>
      <c r="H30" s="12">
        <f>(Inputs!$C$20*$A30^2+Inputs!$D$20*$A30*LOG($A30,2)+Inputs!$E$20*$A30+Inputs!$F$20)/Inputs!$C$5*1000000</f>
        <v>1.2941176470588234</v>
      </c>
      <c r="I30" s="13">
        <f>1/(4*$A30*Inputs!$C$6)*1000000</f>
        <v>121.95121951219512</v>
      </c>
      <c r="J30" s="14">
        <f>Inputs!$C$7</f>
        <v>100</v>
      </c>
      <c r="K30" s="14">
        <f>Inputs!$C$8</f>
        <v>50</v>
      </c>
    </row>
    <row r="31" spans="1:11" x14ac:dyDescent="0.35">
      <c r="A31" s="10">
        <v>44</v>
      </c>
      <c r="B31" s="12">
        <f>(Inputs!$C$14*$A31^2+Inputs!$D$14*$A31*LOG($A31,2)+Inputs!$E$14*$A31+Inputs!$F$14)/Inputs!$C$5*1000000</f>
        <v>139.54117647058825</v>
      </c>
      <c r="C31" s="12">
        <f>(Inputs!$C$15*$A31^2+Inputs!$D$15*$A31*LOG($A31,2)+Inputs!$E$15*$A31+Inputs!$F$15)/Inputs!$C$5*1000000</f>
        <v>59.403527345892016</v>
      </c>
      <c r="D31" s="12">
        <f>(Inputs!$C$16*$A31^2+Inputs!$D$16*$A31*LOG($A31,2)+Inputs!$E$16*$A31+Inputs!$F$16)/Inputs!$C$5*1000000</f>
        <v>2.7294117647058824</v>
      </c>
      <c r="E31" s="12">
        <f>(Inputs!$C$17*$A31^2+Inputs!$D$17*$A31*LOG($A31,2)+Inputs!$E$17*$A31+Inputs!$F$17)/Inputs!$C$5*1000000</f>
        <v>6.0941176470588241</v>
      </c>
      <c r="F31" s="12">
        <f>(Inputs!$C$18*$A31^2+Inputs!$D$18*$A31*LOG($A31,2)+Inputs!$E$18*$A31+Inputs!$F$18)/Inputs!$C$5*1000000</f>
        <v>4.7058823529411757</v>
      </c>
      <c r="G31" s="12">
        <f>(Inputs!$C$19*$A31^2+Inputs!$D$19*$A31*LOG($A31,2)+Inputs!$E$19*$A31+Inputs!$F$19)/Inputs!$C$5*1000000</f>
        <v>5.7058823529411766</v>
      </c>
      <c r="H31" s="12">
        <f>(Inputs!$C$20*$A31^2+Inputs!$D$20*$A31*LOG($A31,2)+Inputs!$E$20*$A31+Inputs!$F$20)/Inputs!$C$5*1000000</f>
        <v>1.2941176470588234</v>
      </c>
      <c r="I31" s="13">
        <f>1/(4*$A31*Inputs!$C$6)*1000000</f>
        <v>113.63636363636364</v>
      </c>
      <c r="J31" s="14">
        <f>Inputs!$C$7</f>
        <v>100</v>
      </c>
      <c r="K31" s="14">
        <f>Inputs!$C$8</f>
        <v>50</v>
      </c>
    </row>
    <row r="32" spans="1:11" x14ac:dyDescent="0.35">
      <c r="A32" s="10">
        <v>47</v>
      </c>
      <c r="B32" s="12">
        <f>(Inputs!$C$14*$A32^2+Inputs!$D$14*$A32*LOG($A32,2)+Inputs!$E$14*$A32+Inputs!$F$14)/Inputs!$C$5*1000000</f>
        <v>158.98823529411766</v>
      </c>
      <c r="C32" s="12">
        <f>(Inputs!$C$15*$A32^2+Inputs!$D$15*$A32*LOG($A32,2)+Inputs!$E$15*$A32+Inputs!$F$15)/Inputs!$C$5*1000000</f>
        <v>64.486041418552702</v>
      </c>
      <c r="D32" s="12">
        <f>(Inputs!$C$16*$A32^2+Inputs!$D$16*$A32*LOG($A32,2)+Inputs!$E$16*$A32+Inputs!$F$16)/Inputs!$C$5*1000000</f>
        <v>2.835294117647059</v>
      </c>
      <c r="E32" s="12">
        <f>(Inputs!$C$17*$A32^2+Inputs!$D$17*$A32*LOG($A32,2)+Inputs!$E$17*$A32+Inputs!$F$17)/Inputs!$C$5*1000000</f>
        <v>6.4294117647058826</v>
      </c>
      <c r="F32" s="12">
        <f>(Inputs!$C$18*$A32^2+Inputs!$D$18*$A32*LOG($A32,2)+Inputs!$E$18*$A32+Inputs!$F$18)/Inputs!$C$5*1000000</f>
        <v>4.7058823529411757</v>
      </c>
      <c r="G32" s="12">
        <f>(Inputs!$C$19*$A32^2+Inputs!$D$19*$A32*LOG($A32,2)+Inputs!$E$19*$A32+Inputs!$F$19)/Inputs!$C$5*1000000</f>
        <v>5.7058823529411766</v>
      </c>
      <c r="H32" s="12">
        <f>(Inputs!$C$20*$A32^2+Inputs!$D$20*$A32*LOG($A32,2)+Inputs!$E$20*$A32+Inputs!$F$20)/Inputs!$C$5*1000000</f>
        <v>1.2941176470588234</v>
      </c>
      <c r="I32" s="13">
        <f>1/(4*$A32*Inputs!$C$6)*1000000</f>
        <v>106.38297872340425</v>
      </c>
      <c r="J32" s="14">
        <f>Inputs!$C$7</f>
        <v>100</v>
      </c>
      <c r="K32" s="14">
        <f>Inputs!$C$8</f>
        <v>50</v>
      </c>
    </row>
    <row r="33" spans="1:11" x14ac:dyDescent="0.35">
      <c r="A33" s="10">
        <v>51</v>
      </c>
      <c r="B33" s="12">
        <f>(Inputs!$C$14*$A33^2+Inputs!$D$14*$A33*LOG($A33,2)+Inputs!$E$14*$A33+Inputs!$F$14)/Inputs!$C$5*1000000</f>
        <v>186.89411764705881</v>
      </c>
      <c r="C33" s="12">
        <f>(Inputs!$C$15*$A33^2+Inputs!$D$15*$A33*LOG($A33,2)+Inputs!$E$15*$A33+Inputs!$F$15)/Inputs!$C$5*1000000</f>
        <v>71.363221750716775</v>
      </c>
      <c r="D33" s="12">
        <f>(Inputs!$C$16*$A33^2+Inputs!$D$16*$A33*LOG($A33,2)+Inputs!$E$16*$A33+Inputs!$F$16)/Inputs!$C$5*1000000</f>
        <v>2.9764705882352942</v>
      </c>
      <c r="E33" s="12">
        <f>(Inputs!$C$17*$A33^2+Inputs!$D$17*$A33*LOG($A33,2)+Inputs!$E$17*$A33+Inputs!$F$17)/Inputs!$C$5*1000000</f>
        <v>6.8764705882352946</v>
      </c>
      <c r="F33" s="12">
        <f>(Inputs!$C$18*$A33^2+Inputs!$D$18*$A33*LOG($A33,2)+Inputs!$E$18*$A33+Inputs!$F$18)/Inputs!$C$5*1000000</f>
        <v>4.7058823529411757</v>
      </c>
      <c r="G33" s="12">
        <f>(Inputs!$C$19*$A33^2+Inputs!$D$19*$A33*LOG($A33,2)+Inputs!$E$19*$A33+Inputs!$F$19)/Inputs!$C$5*1000000</f>
        <v>5.7058823529411766</v>
      </c>
      <c r="H33" s="12">
        <f>(Inputs!$C$20*$A33^2+Inputs!$D$20*$A33*LOG($A33,2)+Inputs!$E$20*$A33+Inputs!$F$20)/Inputs!$C$5*1000000</f>
        <v>1.2941176470588234</v>
      </c>
      <c r="I33" s="13">
        <f>1/(4*$A33*Inputs!$C$6)*1000000</f>
        <v>98.039215686274503</v>
      </c>
      <c r="J33" s="14">
        <f>Inputs!$C$7</f>
        <v>100</v>
      </c>
      <c r="K33" s="14">
        <f>Inputs!$C$8</f>
        <v>50</v>
      </c>
    </row>
    <row r="34" spans="1:11" x14ac:dyDescent="0.35">
      <c r="A34" s="10">
        <v>54</v>
      </c>
      <c r="B34" s="12">
        <f>(Inputs!$C$14*$A34^2+Inputs!$D$14*$A34*LOG($A34,2)+Inputs!$E$14*$A34+Inputs!$F$14)/Inputs!$C$5*1000000</f>
        <v>209.30588235294118</v>
      </c>
      <c r="C34" s="12">
        <f>(Inputs!$C$15*$A34^2+Inputs!$D$15*$A34*LOG($A34,2)+Inputs!$E$15*$A34+Inputs!$F$15)/Inputs!$C$5*1000000</f>
        <v>76.591511792194666</v>
      </c>
      <c r="D34" s="12">
        <f>(Inputs!$C$16*$A34^2+Inputs!$D$16*$A34*LOG($A34,2)+Inputs!$E$16*$A34+Inputs!$F$16)/Inputs!$C$5*1000000</f>
        <v>3.0823529411764707</v>
      </c>
      <c r="E34" s="12">
        <f>(Inputs!$C$17*$A34^2+Inputs!$D$17*$A34*LOG($A34,2)+Inputs!$E$17*$A34+Inputs!$F$17)/Inputs!$C$5*1000000</f>
        <v>7.2117647058823531</v>
      </c>
      <c r="F34" s="12">
        <f>(Inputs!$C$18*$A34^2+Inputs!$D$18*$A34*LOG($A34,2)+Inputs!$E$18*$A34+Inputs!$F$18)/Inputs!$C$5*1000000</f>
        <v>4.7058823529411757</v>
      </c>
      <c r="G34" s="12">
        <f>(Inputs!$C$19*$A34^2+Inputs!$D$19*$A34*LOG($A34,2)+Inputs!$E$19*$A34+Inputs!$F$19)/Inputs!$C$5*1000000</f>
        <v>5.7058823529411766</v>
      </c>
      <c r="H34" s="12">
        <f>(Inputs!$C$20*$A34^2+Inputs!$D$20*$A34*LOG($A34,2)+Inputs!$E$20*$A34+Inputs!$F$20)/Inputs!$C$5*1000000</f>
        <v>1.2941176470588234</v>
      </c>
      <c r="I34" s="13">
        <f>1/(4*$A34*Inputs!$C$6)*1000000</f>
        <v>92.592592592592581</v>
      </c>
      <c r="J34" s="14">
        <f>Inputs!$C$7</f>
        <v>100</v>
      </c>
      <c r="K34" s="14">
        <f>Inputs!$C$8</f>
        <v>50</v>
      </c>
    </row>
    <row r="35" spans="1:11" x14ac:dyDescent="0.35">
      <c r="A35" s="10">
        <v>58</v>
      </c>
      <c r="B35" s="12">
        <f>(Inputs!$C$14*$A35^2+Inputs!$D$14*$A35*LOG($A35,2)+Inputs!$E$14*$A35+Inputs!$F$14)/Inputs!$C$5*1000000</f>
        <v>241.16470588235293</v>
      </c>
      <c r="C35" s="12">
        <f>(Inputs!$C$15*$A35^2+Inputs!$D$15*$A35*LOG($A35,2)+Inputs!$E$15*$A35+Inputs!$F$15)/Inputs!$C$5*1000000</f>
        <v>83.650093580564501</v>
      </c>
      <c r="D35" s="12">
        <f>(Inputs!$C$16*$A35^2+Inputs!$D$16*$A35*LOG($A35,2)+Inputs!$E$16*$A35+Inputs!$F$16)/Inputs!$C$5*1000000</f>
        <v>3.223529411764706</v>
      </c>
      <c r="E35" s="12">
        <f>(Inputs!$C$17*$A35^2+Inputs!$D$17*$A35*LOG($A35,2)+Inputs!$E$17*$A35+Inputs!$F$17)/Inputs!$C$5*1000000</f>
        <v>7.658823529411765</v>
      </c>
      <c r="F35" s="12">
        <f>(Inputs!$C$18*$A35^2+Inputs!$D$18*$A35*LOG($A35,2)+Inputs!$E$18*$A35+Inputs!$F$18)/Inputs!$C$5*1000000</f>
        <v>4.7058823529411757</v>
      </c>
      <c r="G35" s="12">
        <f>(Inputs!$C$19*$A35^2+Inputs!$D$19*$A35*LOG($A35,2)+Inputs!$E$19*$A35+Inputs!$F$19)/Inputs!$C$5*1000000</f>
        <v>5.7058823529411766</v>
      </c>
      <c r="H35" s="12">
        <f>(Inputs!$C$20*$A35^2+Inputs!$D$20*$A35*LOG($A35,2)+Inputs!$E$20*$A35+Inputs!$F$20)/Inputs!$C$5*1000000</f>
        <v>1.2941176470588234</v>
      </c>
      <c r="I35" s="13">
        <f>1/(4*$A35*Inputs!$C$6)*1000000</f>
        <v>86.206896551724128</v>
      </c>
      <c r="J35" s="14">
        <f>Inputs!$C$7</f>
        <v>100</v>
      </c>
      <c r="K35" s="14">
        <f>Inputs!$C$8</f>
        <v>50</v>
      </c>
    </row>
    <row r="36" spans="1:11" x14ac:dyDescent="0.35">
      <c r="A36" s="10">
        <v>63</v>
      </c>
      <c r="B36" s="12">
        <f>(Inputs!$C$14*$A36^2+Inputs!$D$14*$A36*LOG($A36,2)+Inputs!$E$14*$A36+Inputs!$F$14)/Inputs!$C$5*1000000</f>
        <v>284.16470588235296</v>
      </c>
      <c r="C36" s="12">
        <f>(Inputs!$C$15*$A36^2+Inputs!$D$15*$A36*LOG($A36,2)+Inputs!$E$15*$A36+Inputs!$F$15)/Inputs!$C$5*1000000</f>
        <v>92.604384748351706</v>
      </c>
      <c r="D36" s="12">
        <f>(Inputs!$C$16*$A36^2+Inputs!$D$16*$A36*LOG($A36,2)+Inputs!$E$16*$A36+Inputs!$F$16)/Inputs!$C$5*1000000</f>
        <v>3.4</v>
      </c>
      <c r="E36" s="12">
        <f>(Inputs!$C$17*$A36^2+Inputs!$D$17*$A36*LOG($A36,2)+Inputs!$E$17*$A36+Inputs!$F$17)/Inputs!$C$5*1000000</f>
        <v>8.2176470588235286</v>
      </c>
      <c r="F36" s="12">
        <f>(Inputs!$C$18*$A36^2+Inputs!$D$18*$A36*LOG($A36,2)+Inputs!$E$18*$A36+Inputs!$F$18)/Inputs!$C$5*1000000</f>
        <v>4.7058823529411757</v>
      </c>
      <c r="G36" s="12">
        <f>(Inputs!$C$19*$A36^2+Inputs!$D$19*$A36*LOG($A36,2)+Inputs!$E$19*$A36+Inputs!$F$19)/Inputs!$C$5*1000000</f>
        <v>5.7058823529411766</v>
      </c>
      <c r="H36" s="12">
        <f>(Inputs!$C$20*$A36^2+Inputs!$D$20*$A36*LOG($A36,2)+Inputs!$E$20*$A36+Inputs!$F$20)/Inputs!$C$5*1000000</f>
        <v>1.2941176470588234</v>
      </c>
      <c r="I36" s="13">
        <f>1/(4*$A36*Inputs!$C$6)*1000000</f>
        <v>79.365079365079367</v>
      </c>
      <c r="J36" s="14">
        <f>Inputs!$C$7</f>
        <v>100</v>
      </c>
      <c r="K36" s="14">
        <f>Inputs!$C$8</f>
        <v>50</v>
      </c>
    </row>
    <row r="37" spans="1:11" x14ac:dyDescent="0.35">
      <c r="A37" s="10">
        <v>64</v>
      </c>
      <c r="B37" s="12">
        <f>(Inputs!$C$14*$A37^2+Inputs!$D$14*$A37*LOG($A37,2)+Inputs!$E$14*$A37+Inputs!$F$14)/Inputs!$C$5*1000000</f>
        <v>293.18823529411765</v>
      </c>
      <c r="C37" s="12">
        <f>(Inputs!$C$15*$A37^2+Inputs!$D$15*$A37*LOG($A37,2)+Inputs!$E$15*$A37+Inputs!$F$15)/Inputs!$C$5*1000000</f>
        <v>94.411764705882362</v>
      </c>
      <c r="D37" s="12">
        <f>(Inputs!$C$16*$A37^2+Inputs!$D$16*$A37*LOG($A37,2)+Inputs!$E$16*$A37+Inputs!$F$16)/Inputs!$C$5*1000000</f>
        <v>3.4352941176470586</v>
      </c>
      <c r="E37" s="12">
        <f>(Inputs!$C$17*$A37^2+Inputs!$D$17*$A37*LOG($A37,2)+Inputs!$E$17*$A37+Inputs!$F$17)/Inputs!$C$5*1000000</f>
        <v>8.3294117647058812</v>
      </c>
      <c r="F37" s="12">
        <f>(Inputs!$C$18*$A37^2+Inputs!$D$18*$A37*LOG($A37,2)+Inputs!$E$18*$A37+Inputs!$F$18)/Inputs!$C$5*1000000</f>
        <v>4.7058823529411757</v>
      </c>
      <c r="G37" s="12">
        <f>(Inputs!$C$19*$A37^2+Inputs!$D$19*$A37*LOG($A37,2)+Inputs!$E$19*$A37+Inputs!$F$19)/Inputs!$C$5*1000000</f>
        <v>5.7058823529411766</v>
      </c>
      <c r="H37" s="12">
        <f>(Inputs!$C$20*$A37^2+Inputs!$D$20*$A37*LOG($A37,2)+Inputs!$E$20*$A37+Inputs!$F$20)/Inputs!$C$5*1000000</f>
        <v>1.2941176470588234</v>
      </c>
      <c r="I37" s="13">
        <f>1/(4*$A37*Inputs!$C$6)*1000000</f>
        <v>78.125</v>
      </c>
      <c r="J37" s="14">
        <f>Inputs!$C$7</f>
        <v>100</v>
      </c>
      <c r="K37" s="14">
        <f>Inputs!$C$8</f>
        <v>50</v>
      </c>
    </row>
    <row r="38" spans="1:11" x14ac:dyDescent="0.35">
      <c r="A38" s="10">
        <v>67</v>
      </c>
      <c r="B38" s="12">
        <f>(Inputs!$C$14*$A38^2+Inputs!$D$14*$A38*LOG($A38,2)+Inputs!$E$14*$A38+Inputs!$F$14)/Inputs!$C$5*1000000</f>
        <v>321.10588235294119</v>
      </c>
      <c r="C38" s="12">
        <f>(Inputs!$C$15*$A38^2+Inputs!$D$15*$A38*LOG($A38,2)+Inputs!$E$15*$A38+Inputs!$F$15)/Inputs!$C$5*1000000</f>
        <v>99.865406061334298</v>
      </c>
      <c r="D38" s="12">
        <f>(Inputs!$C$16*$A38^2+Inputs!$D$16*$A38*LOG($A38,2)+Inputs!$E$16*$A38+Inputs!$F$16)/Inputs!$C$5*1000000</f>
        <v>3.5411764705882351</v>
      </c>
      <c r="E38" s="12">
        <f>(Inputs!$C$17*$A38^2+Inputs!$D$17*$A38*LOG($A38,2)+Inputs!$E$17*$A38+Inputs!$F$17)/Inputs!$C$5*1000000</f>
        <v>8.6647058823529406</v>
      </c>
      <c r="F38" s="12">
        <f>(Inputs!$C$18*$A38^2+Inputs!$D$18*$A38*LOG($A38,2)+Inputs!$E$18*$A38+Inputs!$F$18)/Inputs!$C$5*1000000</f>
        <v>4.7058823529411757</v>
      </c>
      <c r="G38" s="12">
        <f>(Inputs!$C$19*$A38^2+Inputs!$D$19*$A38*LOG($A38,2)+Inputs!$E$19*$A38+Inputs!$F$19)/Inputs!$C$5*1000000</f>
        <v>5.7058823529411766</v>
      </c>
      <c r="H38" s="12">
        <f>(Inputs!$C$20*$A38^2+Inputs!$D$20*$A38*LOG($A38,2)+Inputs!$E$20*$A38+Inputs!$F$20)/Inputs!$C$5*1000000</f>
        <v>1.2941176470588234</v>
      </c>
      <c r="I38" s="13">
        <f>1/(4*$A38*Inputs!$C$6)*1000000</f>
        <v>74.626865671641795</v>
      </c>
      <c r="J38" s="14">
        <f>Inputs!$C$7</f>
        <v>100</v>
      </c>
      <c r="K38" s="14">
        <f>Inputs!$C$8</f>
        <v>50</v>
      </c>
    </row>
    <row r="39" spans="1:11" x14ac:dyDescent="0.35">
      <c r="A39" s="10">
        <v>72</v>
      </c>
      <c r="B39" s="12">
        <f>(Inputs!$C$14*$A39^2+Inputs!$D$14*$A39*LOG($A39,2)+Inputs!$E$14*$A39+Inputs!$F$14)/Inputs!$C$5*1000000</f>
        <v>370.45882352941175</v>
      </c>
      <c r="C39" s="12">
        <f>(Inputs!$C$15*$A39^2+Inputs!$D$15*$A39*LOG($A39,2)+Inputs!$E$15*$A39+Inputs!$F$15)/Inputs!$C$5*1000000</f>
        <v>109.05520002443448</v>
      </c>
      <c r="D39" s="12">
        <f>(Inputs!$C$16*$A39^2+Inputs!$D$16*$A39*LOG($A39,2)+Inputs!$E$16*$A39+Inputs!$F$16)/Inputs!$C$5*1000000</f>
        <v>3.7176470588235295</v>
      </c>
      <c r="E39" s="12">
        <f>(Inputs!$C$17*$A39^2+Inputs!$D$17*$A39*LOG($A39,2)+Inputs!$E$17*$A39+Inputs!$F$17)/Inputs!$C$5*1000000</f>
        <v>9.2235294117647069</v>
      </c>
      <c r="F39" s="12">
        <f>(Inputs!$C$18*$A39^2+Inputs!$D$18*$A39*LOG($A39,2)+Inputs!$E$18*$A39+Inputs!$F$18)/Inputs!$C$5*1000000</f>
        <v>4.7058823529411757</v>
      </c>
      <c r="G39" s="12">
        <f>(Inputs!$C$19*$A39^2+Inputs!$D$19*$A39*LOG($A39,2)+Inputs!$E$19*$A39+Inputs!$F$19)/Inputs!$C$5*1000000</f>
        <v>5.7058823529411766</v>
      </c>
      <c r="H39" s="12">
        <f>(Inputs!$C$20*$A39^2+Inputs!$D$20*$A39*LOG($A39,2)+Inputs!$E$20*$A39+Inputs!$F$20)/Inputs!$C$5*1000000</f>
        <v>1.2941176470588234</v>
      </c>
      <c r="I39" s="13">
        <f>1/(4*$A39*Inputs!$C$6)*1000000</f>
        <v>69.444444444444443</v>
      </c>
      <c r="J39" s="14">
        <f>Inputs!$C$7</f>
        <v>100</v>
      </c>
      <c r="K39" s="14">
        <f>Inputs!$C$8</f>
        <v>50</v>
      </c>
    </row>
    <row r="40" spans="1:11" x14ac:dyDescent="0.35">
      <c r="A40" s="10">
        <v>77</v>
      </c>
      <c r="B40" s="12">
        <f>(Inputs!$C$14*$A40^2+Inputs!$D$14*$A40*LOG($A40,2)+Inputs!$E$14*$A40+Inputs!$F$14)/Inputs!$C$5*1000000</f>
        <v>423.34117647058821</v>
      </c>
      <c r="C40" s="12">
        <f>(Inputs!$C$15*$A40^2+Inputs!$D$15*$A40*LOG($A40,2)+Inputs!$E$15*$A40+Inputs!$F$15)/Inputs!$C$5*1000000</f>
        <v>118.36295614906057</v>
      </c>
      <c r="D40" s="12">
        <f>(Inputs!$C$16*$A40^2+Inputs!$D$16*$A40*LOG($A40,2)+Inputs!$E$16*$A40+Inputs!$F$16)/Inputs!$C$5*1000000</f>
        <v>3.8941176470588239</v>
      </c>
      <c r="E40" s="12">
        <f>(Inputs!$C$17*$A40^2+Inputs!$D$17*$A40*LOG($A40,2)+Inputs!$E$17*$A40+Inputs!$F$17)/Inputs!$C$5*1000000</f>
        <v>9.7823529411764696</v>
      </c>
      <c r="F40" s="12">
        <f>(Inputs!$C$18*$A40^2+Inputs!$D$18*$A40*LOG($A40,2)+Inputs!$E$18*$A40+Inputs!$F$18)/Inputs!$C$5*1000000</f>
        <v>4.7058823529411757</v>
      </c>
      <c r="G40" s="12">
        <f>(Inputs!$C$19*$A40^2+Inputs!$D$19*$A40*LOG($A40,2)+Inputs!$E$19*$A40+Inputs!$F$19)/Inputs!$C$5*1000000</f>
        <v>5.7058823529411766</v>
      </c>
      <c r="H40" s="12">
        <f>(Inputs!$C$20*$A40^2+Inputs!$D$20*$A40*LOG($A40,2)+Inputs!$E$20*$A40+Inputs!$F$20)/Inputs!$C$5*1000000</f>
        <v>1.2941176470588234</v>
      </c>
      <c r="I40" s="13">
        <f>1/(4*$A40*Inputs!$C$6)*1000000</f>
        <v>64.935064935064929</v>
      </c>
      <c r="J40" s="14">
        <f>Inputs!$C$7</f>
        <v>100</v>
      </c>
      <c r="K40" s="14">
        <f>Inputs!$C$8</f>
        <v>50</v>
      </c>
    </row>
    <row r="41" spans="1:11" x14ac:dyDescent="0.35">
      <c r="A41" s="10">
        <v>83</v>
      </c>
      <c r="B41" s="12">
        <f>(Inputs!$C$14*$A41^2+Inputs!$D$14*$A41*LOG($A41,2)+Inputs!$E$14*$A41+Inputs!$F$14)/Inputs!$C$5*1000000</f>
        <v>491.45882352941175</v>
      </c>
      <c r="C41" s="12">
        <f>(Inputs!$C$15*$A41^2+Inputs!$D$15*$A41*LOG($A41,2)+Inputs!$E$15*$A41+Inputs!$F$15)/Inputs!$C$5*1000000</f>
        <v>129.67724065924585</v>
      </c>
      <c r="D41" s="12">
        <f>(Inputs!$C$16*$A41^2+Inputs!$D$16*$A41*LOG($A41,2)+Inputs!$E$16*$A41+Inputs!$F$16)/Inputs!$C$5*1000000</f>
        <v>4.105882352941177</v>
      </c>
      <c r="E41" s="12">
        <f>(Inputs!$C$17*$A41^2+Inputs!$D$17*$A41*LOG($A41,2)+Inputs!$E$17*$A41+Inputs!$F$17)/Inputs!$C$5*1000000</f>
        <v>10.452941176470588</v>
      </c>
      <c r="F41" s="12">
        <f>(Inputs!$C$18*$A41^2+Inputs!$D$18*$A41*LOG($A41,2)+Inputs!$E$18*$A41+Inputs!$F$18)/Inputs!$C$5*1000000</f>
        <v>4.7058823529411757</v>
      </c>
      <c r="G41" s="12">
        <f>(Inputs!$C$19*$A41^2+Inputs!$D$19*$A41*LOG($A41,2)+Inputs!$E$19*$A41+Inputs!$F$19)/Inputs!$C$5*1000000</f>
        <v>5.7058823529411766</v>
      </c>
      <c r="H41" s="12">
        <f>(Inputs!$C$20*$A41^2+Inputs!$D$20*$A41*LOG($A41,2)+Inputs!$E$20*$A41+Inputs!$F$20)/Inputs!$C$5*1000000</f>
        <v>1.2941176470588234</v>
      </c>
      <c r="I41" s="13">
        <f>1/(4*$A41*Inputs!$C$6)*1000000</f>
        <v>60.240963855421683</v>
      </c>
      <c r="J41" s="14">
        <f>Inputs!$C$7</f>
        <v>100</v>
      </c>
      <c r="K41" s="14">
        <f>Inputs!$C$8</f>
        <v>50</v>
      </c>
    </row>
    <row r="42" spans="1:11" x14ac:dyDescent="0.35">
      <c r="A42" s="10">
        <v>89</v>
      </c>
      <c r="B42" s="12">
        <f>(Inputs!$C$14*$A42^2+Inputs!$D$14*$A42*LOG($A42,2)+Inputs!$E$14*$A42+Inputs!$F$14)/Inputs!$C$5*1000000</f>
        <v>564.65882352941173</v>
      </c>
      <c r="C42" s="12">
        <f>(Inputs!$C$15*$A42^2+Inputs!$D$15*$A42*LOG($A42,2)+Inputs!$E$15*$A42+Inputs!$F$15)/Inputs!$C$5*1000000</f>
        <v>141.13888831906101</v>
      </c>
      <c r="D42" s="12">
        <f>(Inputs!$C$16*$A42^2+Inputs!$D$16*$A42*LOG($A42,2)+Inputs!$E$16*$A42+Inputs!$F$16)/Inputs!$C$5*1000000</f>
        <v>4.3176470588235301</v>
      </c>
      <c r="E42" s="12">
        <f>(Inputs!$C$17*$A42^2+Inputs!$D$17*$A42*LOG($A42,2)+Inputs!$E$17*$A42+Inputs!$F$17)/Inputs!$C$5*1000000</f>
        <v>11.123529411764705</v>
      </c>
      <c r="F42" s="12">
        <f>(Inputs!$C$18*$A42^2+Inputs!$D$18*$A42*LOG($A42,2)+Inputs!$E$18*$A42+Inputs!$F$18)/Inputs!$C$5*1000000</f>
        <v>4.7058823529411757</v>
      </c>
      <c r="G42" s="12">
        <f>(Inputs!$C$19*$A42^2+Inputs!$D$19*$A42*LOG($A42,2)+Inputs!$E$19*$A42+Inputs!$F$19)/Inputs!$C$5*1000000</f>
        <v>5.7058823529411766</v>
      </c>
      <c r="H42" s="12">
        <f>(Inputs!$C$20*$A42^2+Inputs!$D$20*$A42*LOG($A42,2)+Inputs!$E$20*$A42+Inputs!$F$20)/Inputs!$C$5*1000000</f>
        <v>1.2941176470588234</v>
      </c>
      <c r="I42" s="13">
        <f>1/(4*$A42*Inputs!$C$6)*1000000</f>
        <v>56.17977528089888</v>
      </c>
      <c r="J42" s="14">
        <f>Inputs!$C$7</f>
        <v>100</v>
      </c>
      <c r="K42" s="14">
        <f>Inputs!$C$8</f>
        <v>50</v>
      </c>
    </row>
    <row r="43" spans="1:11" x14ac:dyDescent="0.35">
      <c r="A43" s="10">
        <v>95</v>
      </c>
      <c r="B43" s="12">
        <f>(Inputs!$C$14*$A43^2+Inputs!$D$14*$A43*LOG($A43,2)+Inputs!$E$14*$A43+Inputs!$F$14)/Inputs!$C$5*1000000</f>
        <v>642.94117647058818</v>
      </c>
      <c r="C43" s="12">
        <f>(Inputs!$C$15*$A43^2+Inputs!$D$15*$A43*LOG($A43,2)+Inputs!$E$15*$A43+Inputs!$F$15)/Inputs!$C$5*1000000</f>
        <v>152.73794889210356</v>
      </c>
      <c r="D43" s="12">
        <f>(Inputs!$C$16*$A43^2+Inputs!$D$16*$A43*LOG($A43,2)+Inputs!$E$16*$A43+Inputs!$F$16)/Inputs!$C$5*1000000</f>
        <v>4.5294117647058822</v>
      </c>
      <c r="E43" s="12">
        <f>(Inputs!$C$17*$A43^2+Inputs!$D$17*$A43*LOG($A43,2)+Inputs!$E$17*$A43+Inputs!$F$17)/Inputs!$C$5*1000000</f>
        <v>11.794117647058824</v>
      </c>
      <c r="F43" s="12">
        <f>(Inputs!$C$18*$A43^2+Inputs!$D$18*$A43*LOG($A43,2)+Inputs!$E$18*$A43+Inputs!$F$18)/Inputs!$C$5*1000000</f>
        <v>4.7058823529411757</v>
      </c>
      <c r="G43" s="12">
        <f>(Inputs!$C$19*$A43^2+Inputs!$D$19*$A43*LOG($A43,2)+Inputs!$E$19*$A43+Inputs!$F$19)/Inputs!$C$5*1000000</f>
        <v>5.7058823529411766</v>
      </c>
      <c r="H43" s="12">
        <f>(Inputs!$C$20*$A43^2+Inputs!$D$20*$A43*LOG($A43,2)+Inputs!$E$20*$A43+Inputs!$F$20)/Inputs!$C$5*1000000</f>
        <v>1.2941176470588234</v>
      </c>
      <c r="I43" s="13">
        <f>1/(4*$A43*Inputs!$C$6)*1000000</f>
        <v>52.631578947368425</v>
      </c>
      <c r="J43" s="14">
        <f>Inputs!$C$7</f>
        <v>100</v>
      </c>
      <c r="K43" s="14">
        <f>Inputs!$C$8</f>
        <v>50</v>
      </c>
    </row>
    <row r="44" spans="1:11" x14ac:dyDescent="0.35">
      <c r="A44" s="10">
        <v>102</v>
      </c>
      <c r="B44" s="12">
        <f>(Inputs!$C$14*$A44^2+Inputs!$D$14*$A44*LOG($A44,2)+Inputs!$E$14*$A44+Inputs!$F$14)/Inputs!$C$5*1000000</f>
        <v>740.69411764705887</v>
      </c>
      <c r="C44" s="12">
        <f>(Inputs!$C$15*$A44^2+Inputs!$D$15*$A44*LOG($A44,2)+Inputs!$E$15*$A44+Inputs!$F$15)/Inputs!$C$5*1000000</f>
        <v>166.43232585437471</v>
      </c>
      <c r="D44" s="12">
        <f>(Inputs!$C$16*$A44^2+Inputs!$D$16*$A44*LOG($A44,2)+Inputs!$E$16*$A44+Inputs!$F$16)/Inputs!$C$5*1000000</f>
        <v>4.776470588235294</v>
      </c>
      <c r="E44" s="12">
        <f>(Inputs!$C$17*$A44^2+Inputs!$D$17*$A44*LOG($A44,2)+Inputs!$E$17*$A44+Inputs!$F$17)/Inputs!$C$5*1000000</f>
        <v>12.576470588235294</v>
      </c>
      <c r="F44" s="12">
        <f>(Inputs!$C$18*$A44^2+Inputs!$D$18*$A44*LOG($A44,2)+Inputs!$E$18*$A44+Inputs!$F$18)/Inputs!$C$5*1000000</f>
        <v>4.7058823529411757</v>
      </c>
      <c r="G44" s="12">
        <f>(Inputs!$C$19*$A44^2+Inputs!$D$19*$A44*LOG($A44,2)+Inputs!$E$19*$A44+Inputs!$F$19)/Inputs!$C$5*1000000</f>
        <v>5.7058823529411766</v>
      </c>
      <c r="H44" s="12">
        <f>(Inputs!$C$20*$A44^2+Inputs!$D$20*$A44*LOG($A44,2)+Inputs!$E$20*$A44+Inputs!$F$20)/Inputs!$C$5*1000000</f>
        <v>1.2941176470588234</v>
      </c>
      <c r="I44" s="13">
        <f>1/(4*$A44*Inputs!$C$6)*1000000</f>
        <v>49.019607843137251</v>
      </c>
      <c r="J44" s="14">
        <f>Inputs!$C$7</f>
        <v>100</v>
      </c>
      <c r="K44" s="14">
        <f>Inputs!$C$8</f>
        <v>50</v>
      </c>
    </row>
    <row r="45" spans="1:11" x14ac:dyDescent="0.35">
      <c r="A45" s="10">
        <v>110</v>
      </c>
      <c r="B45" s="12">
        <f>(Inputs!$C$14*$A45^2+Inputs!$D$14*$A45*LOG($A45,2)+Inputs!$E$14*$A45+Inputs!$F$14)/Inputs!$C$5*1000000</f>
        <v>860.88235294117646</v>
      </c>
      <c r="C45" s="12">
        <f>(Inputs!$C$15*$A45^2+Inputs!$D$15*$A45*LOG($A45,2)+Inputs!$E$15*$A45+Inputs!$F$15)/Inputs!$C$5*1000000</f>
        <v>182.28225140887358</v>
      </c>
      <c r="D45" s="12">
        <f>(Inputs!$C$16*$A45^2+Inputs!$D$16*$A45*LOG($A45,2)+Inputs!$E$16*$A45+Inputs!$F$16)/Inputs!$C$5*1000000</f>
        <v>5.0588235294117645</v>
      </c>
      <c r="E45" s="12">
        <f>(Inputs!$C$17*$A45^2+Inputs!$D$17*$A45*LOG($A45,2)+Inputs!$E$17*$A45+Inputs!$F$17)/Inputs!$C$5*1000000</f>
        <v>13.470588235294118</v>
      </c>
      <c r="F45" s="12">
        <f>(Inputs!$C$18*$A45^2+Inputs!$D$18*$A45*LOG($A45,2)+Inputs!$E$18*$A45+Inputs!$F$18)/Inputs!$C$5*1000000</f>
        <v>4.7058823529411757</v>
      </c>
      <c r="G45" s="12">
        <f>(Inputs!$C$19*$A45^2+Inputs!$D$19*$A45*LOG($A45,2)+Inputs!$E$19*$A45+Inputs!$F$19)/Inputs!$C$5*1000000</f>
        <v>5.7058823529411766</v>
      </c>
      <c r="H45" s="12">
        <f>(Inputs!$C$20*$A45^2+Inputs!$D$20*$A45*LOG($A45,2)+Inputs!$E$20*$A45+Inputs!$F$20)/Inputs!$C$5*1000000</f>
        <v>1.2941176470588234</v>
      </c>
      <c r="I45" s="13">
        <f>1/(4*$A45*Inputs!$C$6)*1000000</f>
        <v>45.454545454545453</v>
      </c>
      <c r="J45" s="14">
        <f>Inputs!$C$7</f>
        <v>100</v>
      </c>
      <c r="K45" s="14">
        <f>Inputs!$C$8</f>
        <v>50</v>
      </c>
    </row>
    <row r="46" spans="1:11" x14ac:dyDescent="0.35">
      <c r="A46" s="10">
        <v>118</v>
      </c>
      <c r="B46" s="12">
        <f>(Inputs!$C$14*$A46^2+Inputs!$D$14*$A46*LOG($A46,2)+Inputs!$E$14*$A46+Inputs!$F$14)/Inputs!$C$5*1000000</f>
        <v>990.10588235294119</v>
      </c>
      <c r="C46" s="12">
        <f>(Inputs!$C$15*$A46^2+Inputs!$D$15*$A46*LOG($A46,2)+Inputs!$E$15*$A46+Inputs!$F$15)/Inputs!$C$5*1000000</f>
        <v>198.32985407639936</v>
      </c>
      <c r="D46" s="12">
        <f>(Inputs!$C$16*$A46^2+Inputs!$D$16*$A46*LOG($A46,2)+Inputs!$E$16*$A46+Inputs!$F$16)/Inputs!$C$5*1000000</f>
        <v>5.341176470588235</v>
      </c>
      <c r="E46" s="12">
        <f>(Inputs!$C$17*$A46^2+Inputs!$D$17*$A46*LOG($A46,2)+Inputs!$E$17*$A46+Inputs!$F$17)/Inputs!$C$5*1000000</f>
        <v>14.36470588235294</v>
      </c>
      <c r="F46" s="12">
        <f>(Inputs!$C$18*$A46^2+Inputs!$D$18*$A46*LOG($A46,2)+Inputs!$E$18*$A46+Inputs!$F$18)/Inputs!$C$5*1000000</f>
        <v>4.7058823529411757</v>
      </c>
      <c r="G46" s="12">
        <f>(Inputs!$C$19*$A46^2+Inputs!$D$19*$A46*LOG($A46,2)+Inputs!$E$19*$A46+Inputs!$F$19)/Inputs!$C$5*1000000</f>
        <v>5.7058823529411766</v>
      </c>
      <c r="H46" s="12">
        <f>(Inputs!$C$20*$A46^2+Inputs!$D$20*$A46*LOG($A46,2)+Inputs!$E$20*$A46+Inputs!$F$20)/Inputs!$C$5*1000000</f>
        <v>1.2941176470588234</v>
      </c>
      <c r="I46" s="13">
        <f>1/(4*$A46*Inputs!$C$6)*1000000</f>
        <v>42.372881355932208</v>
      </c>
      <c r="J46" s="14">
        <f>Inputs!$C$7</f>
        <v>100</v>
      </c>
      <c r="K46" s="14">
        <f>Inputs!$C$8</f>
        <v>50</v>
      </c>
    </row>
    <row r="47" spans="1:11" x14ac:dyDescent="0.35">
      <c r="A47" s="10">
        <v>127</v>
      </c>
      <c r="B47" s="12">
        <f>(Inputs!$C$14*$A47^2+Inputs!$D$14*$A47*LOG($A47,2)+Inputs!$E$14*$A47+Inputs!$F$14)/Inputs!$C$5*1000000</f>
        <v>1146.2823529411764</v>
      </c>
      <c r="C47" s="12">
        <f>(Inputs!$C$15*$A47^2+Inputs!$D$15*$A47*LOG($A47,2)+Inputs!$E$15*$A47+Inputs!$F$15)/Inputs!$C$5*1000000</f>
        <v>216.60304828707416</v>
      </c>
      <c r="D47" s="12">
        <f>(Inputs!$C$16*$A47^2+Inputs!$D$16*$A47*LOG($A47,2)+Inputs!$E$16*$A47+Inputs!$F$16)/Inputs!$C$5*1000000</f>
        <v>5.658823529411765</v>
      </c>
      <c r="E47" s="12">
        <f>(Inputs!$C$17*$A47^2+Inputs!$D$17*$A47*LOG($A47,2)+Inputs!$E$17*$A47+Inputs!$F$17)/Inputs!$C$5*1000000</f>
        <v>15.370588235294116</v>
      </c>
      <c r="F47" s="12">
        <f>(Inputs!$C$18*$A47^2+Inputs!$D$18*$A47*LOG($A47,2)+Inputs!$E$18*$A47+Inputs!$F$18)/Inputs!$C$5*1000000</f>
        <v>4.7058823529411757</v>
      </c>
      <c r="G47" s="12">
        <f>(Inputs!$C$19*$A47^2+Inputs!$D$19*$A47*LOG($A47,2)+Inputs!$E$19*$A47+Inputs!$F$19)/Inputs!$C$5*1000000</f>
        <v>5.7058823529411766</v>
      </c>
      <c r="H47" s="12">
        <f>(Inputs!$C$20*$A47^2+Inputs!$D$20*$A47*LOG($A47,2)+Inputs!$E$20*$A47+Inputs!$F$20)/Inputs!$C$5*1000000</f>
        <v>1.2941176470588234</v>
      </c>
      <c r="I47" s="13">
        <f>1/(4*$A47*Inputs!$C$6)*1000000</f>
        <v>39.370078740157481</v>
      </c>
      <c r="J47" s="14">
        <f>Inputs!$C$7</f>
        <v>100</v>
      </c>
      <c r="K47" s="14">
        <f>Inputs!$C$8</f>
        <v>50</v>
      </c>
    </row>
    <row r="48" spans="1:11" x14ac:dyDescent="0.35">
      <c r="A48" s="10">
        <v>128</v>
      </c>
      <c r="B48" s="12">
        <f>(Inputs!$C$14*$A48^2+Inputs!$D$14*$A48*LOG($A48,2)+Inputs!$E$14*$A48+Inputs!$F$14)/Inputs!$C$5*1000000</f>
        <v>1164.3411764705884</v>
      </c>
      <c r="C48" s="12">
        <f>(Inputs!$C$15*$A48^2+Inputs!$D$15*$A48*LOG($A48,2)+Inputs!$E$15*$A48+Inputs!$F$15)/Inputs!$C$5*1000000</f>
        <v>218.64705882352942</v>
      </c>
      <c r="D48" s="12">
        <f>(Inputs!$C$16*$A48^2+Inputs!$D$16*$A48*LOG($A48,2)+Inputs!$E$16*$A48+Inputs!$F$16)/Inputs!$C$5*1000000</f>
        <v>5.6941176470588237</v>
      </c>
      <c r="E48" s="12">
        <f>(Inputs!$C$17*$A48^2+Inputs!$D$17*$A48*LOG($A48,2)+Inputs!$E$17*$A48+Inputs!$F$17)/Inputs!$C$5*1000000</f>
        <v>15.482352941176469</v>
      </c>
      <c r="F48" s="12">
        <f>(Inputs!$C$18*$A48^2+Inputs!$D$18*$A48*LOG($A48,2)+Inputs!$E$18*$A48+Inputs!$F$18)/Inputs!$C$5*1000000</f>
        <v>4.7058823529411757</v>
      </c>
      <c r="G48" s="12">
        <f>(Inputs!$C$19*$A48^2+Inputs!$D$19*$A48*LOG($A48,2)+Inputs!$E$19*$A48+Inputs!$F$19)/Inputs!$C$5*1000000</f>
        <v>5.7058823529411766</v>
      </c>
      <c r="H48" s="12">
        <f>(Inputs!$C$20*$A48^2+Inputs!$D$20*$A48*LOG($A48,2)+Inputs!$E$20*$A48+Inputs!$F$20)/Inputs!$C$5*1000000</f>
        <v>1.2941176470588234</v>
      </c>
      <c r="I48" s="13">
        <f>1/(4*$A48*Inputs!$C$6)*1000000</f>
        <v>39.0625</v>
      </c>
      <c r="J48" s="14">
        <f>Inputs!$C$7</f>
        <v>100</v>
      </c>
      <c r="K48" s="14">
        <f>Inputs!$C$8</f>
        <v>50</v>
      </c>
    </row>
    <row r="49" spans="1:11" x14ac:dyDescent="0.35">
      <c r="A49" s="10">
        <v>136</v>
      </c>
      <c r="B49" s="12">
        <f>(Inputs!$C$14*$A49^2+Inputs!$D$14*$A49*LOG($A49,2)+Inputs!$E$14*$A49+Inputs!$F$14)/Inputs!$C$5*1000000</f>
        <v>1313.8941176470589</v>
      </c>
      <c r="C49" s="12">
        <f>(Inputs!$C$15*$A49^2+Inputs!$D$15*$A49*LOG($A49,2)+Inputs!$E$15*$A49+Inputs!$F$15)/Inputs!$C$5*1000000</f>
        <v>235.09292856706969</v>
      </c>
      <c r="D49" s="12">
        <f>(Inputs!$C$16*$A49^2+Inputs!$D$16*$A49*LOG($A49,2)+Inputs!$E$16*$A49+Inputs!$F$16)/Inputs!$C$5*1000000</f>
        <v>5.9764705882352942</v>
      </c>
      <c r="E49" s="12">
        <f>(Inputs!$C$17*$A49^2+Inputs!$D$17*$A49*LOG($A49,2)+Inputs!$E$17*$A49+Inputs!$F$17)/Inputs!$C$5*1000000</f>
        <v>16.376470588235293</v>
      </c>
      <c r="F49" s="12">
        <f>(Inputs!$C$18*$A49^2+Inputs!$D$18*$A49*LOG($A49,2)+Inputs!$E$18*$A49+Inputs!$F$18)/Inputs!$C$5*1000000</f>
        <v>4.7058823529411757</v>
      </c>
      <c r="G49" s="12">
        <f>(Inputs!$C$19*$A49^2+Inputs!$D$19*$A49*LOG($A49,2)+Inputs!$E$19*$A49+Inputs!$F$19)/Inputs!$C$5*1000000</f>
        <v>5.7058823529411766</v>
      </c>
      <c r="H49" s="12">
        <f>(Inputs!$C$20*$A49^2+Inputs!$D$20*$A49*LOG($A49,2)+Inputs!$E$20*$A49+Inputs!$F$20)/Inputs!$C$5*1000000</f>
        <v>1.2941176470588234</v>
      </c>
      <c r="I49" s="13">
        <f>1/(4*$A49*Inputs!$C$6)*1000000</f>
        <v>36.764705882352935</v>
      </c>
      <c r="J49" s="14">
        <f>Inputs!$C$7</f>
        <v>100</v>
      </c>
      <c r="K49" s="14">
        <f>Inputs!$C$8</f>
        <v>50</v>
      </c>
    </row>
    <row r="50" spans="1:11" x14ac:dyDescent="0.35">
      <c r="A50" s="10">
        <v>146</v>
      </c>
      <c r="B50" s="12">
        <f>(Inputs!$C$14*$A50^2+Inputs!$D$14*$A50*LOG($A50,2)+Inputs!$E$14*$A50+Inputs!$F$14)/Inputs!$C$5*1000000</f>
        <v>1513.5411764705884</v>
      </c>
      <c r="C50" s="12">
        <f>(Inputs!$C$15*$A50^2+Inputs!$D$15*$A50*LOG($A50,2)+Inputs!$E$15*$A50+Inputs!$F$15)/Inputs!$C$5*1000000</f>
        <v>255.87397308152529</v>
      </c>
      <c r="D50" s="12">
        <f>(Inputs!$C$16*$A50^2+Inputs!$D$16*$A50*LOG($A50,2)+Inputs!$E$16*$A50+Inputs!$F$16)/Inputs!$C$5*1000000</f>
        <v>6.3294117647058821</v>
      </c>
      <c r="E50" s="12">
        <f>(Inputs!$C$17*$A50^2+Inputs!$D$17*$A50*LOG($A50,2)+Inputs!$E$17*$A50+Inputs!$F$17)/Inputs!$C$5*1000000</f>
        <v>17.494117647058825</v>
      </c>
      <c r="F50" s="12">
        <f>(Inputs!$C$18*$A50^2+Inputs!$D$18*$A50*LOG($A50,2)+Inputs!$E$18*$A50+Inputs!$F$18)/Inputs!$C$5*1000000</f>
        <v>4.7058823529411757</v>
      </c>
      <c r="G50" s="12">
        <f>(Inputs!$C$19*$A50^2+Inputs!$D$19*$A50*LOG($A50,2)+Inputs!$E$19*$A50+Inputs!$F$19)/Inputs!$C$5*1000000</f>
        <v>5.7058823529411766</v>
      </c>
      <c r="H50" s="12">
        <f>(Inputs!$C$20*$A50^2+Inputs!$D$20*$A50*LOG($A50,2)+Inputs!$E$20*$A50+Inputs!$F$20)/Inputs!$C$5*1000000</f>
        <v>1.2941176470588234</v>
      </c>
      <c r="I50" s="13">
        <f>1/(4*$A50*Inputs!$C$6)*1000000</f>
        <v>34.246575342465754</v>
      </c>
      <c r="J50" s="14">
        <f>Inputs!$C$7</f>
        <v>100</v>
      </c>
      <c r="K50" s="14">
        <f>Inputs!$C$8</f>
        <v>50</v>
      </c>
    </row>
    <row r="51" spans="1:11" x14ac:dyDescent="0.35">
      <c r="A51" s="10">
        <v>156</v>
      </c>
      <c r="B51" s="12">
        <f>(Inputs!$C$14*$A51^2+Inputs!$D$14*$A51*LOG($A51,2)+Inputs!$E$14*$A51+Inputs!$F$14)/Inputs!$C$5*1000000</f>
        <v>1727.3058823529411</v>
      </c>
      <c r="C51" s="12">
        <f>(Inputs!$C$15*$A51^2+Inputs!$D$15*$A51*LOG($A51,2)+Inputs!$E$15*$A51+Inputs!$F$15)/Inputs!$C$5*1000000</f>
        <v>276.88770497470841</v>
      </c>
      <c r="D51" s="12">
        <f>(Inputs!$C$16*$A51^2+Inputs!$D$16*$A51*LOG($A51,2)+Inputs!$E$16*$A51+Inputs!$F$16)/Inputs!$C$5*1000000</f>
        <v>6.6823529411764708</v>
      </c>
      <c r="E51" s="12">
        <f>(Inputs!$C$17*$A51^2+Inputs!$D$17*$A51*LOG($A51,2)+Inputs!$E$17*$A51+Inputs!$F$17)/Inputs!$C$5*1000000</f>
        <v>18.611764705882351</v>
      </c>
      <c r="F51" s="12">
        <f>(Inputs!$C$18*$A51^2+Inputs!$D$18*$A51*LOG($A51,2)+Inputs!$E$18*$A51+Inputs!$F$18)/Inputs!$C$5*1000000</f>
        <v>4.7058823529411757</v>
      </c>
      <c r="G51" s="12">
        <f>(Inputs!$C$19*$A51^2+Inputs!$D$19*$A51*LOG($A51,2)+Inputs!$E$19*$A51+Inputs!$F$19)/Inputs!$C$5*1000000</f>
        <v>5.7058823529411766</v>
      </c>
      <c r="H51" s="12">
        <f>(Inputs!$C$20*$A51^2+Inputs!$D$20*$A51*LOG($A51,2)+Inputs!$E$20*$A51+Inputs!$F$20)/Inputs!$C$5*1000000</f>
        <v>1.2941176470588234</v>
      </c>
      <c r="I51" s="13">
        <f>1/(4*$A51*Inputs!$C$6)*1000000</f>
        <v>32.051282051282051</v>
      </c>
      <c r="J51" s="14">
        <f>Inputs!$C$7</f>
        <v>100</v>
      </c>
      <c r="K51" s="14">
        <f>Inputs!$C$8</f>
        <v>50</v>
      </c>
    </row>
    <row r="52" spans="1:11" x14ac:dyDescent="0.35">
      <c r="A52" s="10">
        <v>168</v>
      </c>
      <c r="B52" s="12">
        <f>(Inputs!$C$14*$A52^2+Inputs!$D$14*$A52*LOG($A52,2)+Inputs!$E$14*$A52+Inputs!$F$14)/Inputs!$C$5*1000000</f>
        <v>2002.4588235294118</v>
      </c>
      <c r="C52" s="12">
        <f>(Inputs!$C$15*$A52^2+Inputs!$D$15*$A52*LOG($A52,2)+Inputs!$E$15*$A52+Inputs!$F$15)/Inputs!$C$5*1000000</f>
        <v>302.39042988866629</v>
      </c>
      <c r="D52" s="12">
        <f>(Inputs!$C$16*$A52^2+Inputs!$D$16*$A52*LOG($A52,2)+Inputs!$E$16*$A52+Inputs!$F$16)/Inputs!$C$5*1000000</f>
        <v>7.105882352941177</v>
      </c>
      <c r="E52" s="12">
        <f>(Inputs!$C$17*$A52^2+Inputs!$D$17*$A52*LOG($A52,2)+Inputs!$E$17*$A52+Inputs!$F$17)/Inputs!$C$5*1000000</f>
        <v>19.952941176470588</v>
      </c>
      <c r="F52" s="12">
        <f>(Inputs!$C$18*$A52^2+Inputs!$D$18*$A52*LOG($A52,2)+Inputs!$E$18*$A52+Inputs!$F$18)/Inputs!$C$5*1000000</f>
        <v>4.7058823529411757</v>
      </c>
      <c r="G52" s="12">
        <f>(Inputs!$C$19*$A52^2+Inputs!$D$19*$A52*LOG($A52,2)+Inputs!$E$19*$A52+Inputs!$F$19)/Inputs!$C$5*1000000</f>
        <v>5.7058823529411766</v>
      </c>
      <c r="H52" s="12">
        <f>(Inputs!$C$20*$A52^2+Inputs!$D$20*$A52*LOG($A52,2)+Inputs!$E$20*$A52+Inputs!$F$20)/Inputs!$C$5*1000000</f>
        <v>1.2941176470588234</v>
      </c>
      <c r="I52" s="13">
        <f>1/(4*$A52*Inputs!$C$6)*1000000</f>
        <v>29.761904761904763</v>
      </c>
      <c r="J52" s="14">
        <f>Inputs!$C$7</f>
        <v>100</v>
      </c>
      <c r="K52" s="14">
        <f>Inputs!$C$8</f>
        <v>50</v>
      </c>
    </row>
    <row r="53" spans="1:11" x14ac:dyDescent="0.35">
      <c r="A53" s="10">
        <v>180</v>
      </c>
      <c r="B53" s="12">
        <f>(Inputs!$C$14*$A53^2+Inputs!$D$14*$A53*LOG($A53,2)+Inputs!$E$14*$A53+Inputs!$F$14)/Inputs!$C$5*1000000</f>
        <v>2297.9411764705883</v>
      </c>
      <c r="C53" s="12">
        <f>(Inputs!$C$15*$A53^2+Inputs!$D$15*$A53*LOG($A53,2)+Inputs!$E$15*$A53+Inputs!$F$15)/Inputs!$C$5*1000000</f>
        <v>328.18436643278619</v>
      </c>
      <c r="D53" s="12">
        <f>(Inputs!$C$16*$A53^2+Inputs!$D$16*$A53*LOG($A53,2)+Inputs!$E$16*$A53+Inputs!$F$16)/Inputs!$C$5*1000000</f>
        <v>7.5294117647058831</v>
      </c>
      <c r="E53" s="12">
        <f>(Inputs!$C$17*$A53^2+Inputs!$D$17*$A53*LOG($A53,2)+Inputs!$E$17*$A53+Inputs!$F$17)/Inputs!$C$5*1000000</f>
        <v>21.294117647058822</v>
      </c>
      <c r="F53" s="12">
        <f>(Inputs!$C$18*$A53^2+Inputs!$D$18*$A53*LOG($A53,2)+Inputs!$E$18*$A53+Inputs!$F$18)/Inputs!$C$5*1000000</f>
        <v>4.7058823529411757</v>
      </c>
      <c r="G53" s="12">
        <f>(Inputs!$C$19*$A53^2+Inputs!$D$19*$A53*LOG($A53,2)+Inputs!$E$19*$A53+Inputs!$F$19)/Inputs!$C$5*1000000</f>
        <v>5.7058823529411766</v>
      </c>
      <c r="H53" s="12">
        <f>(Inputs!$C$20*$A53^2+Inputs!$D$20*$A53*LOG($A53,2)+Inputs!$E$20*$A53+Inputs!$F$20)/Inputs!$C$5*1000000</f>
        <v>1.2941176470588234</v>
      </c>
      <c r="I53" s="13">
        <f>1/(4*$A53*Inputs!$C$6)*1000000</f>
        <v>27.777777777777779</v>
      </c>
      <c r="J53" s="14">
        <f>Inputs!$C$7</f>
        <v>100</v>
      </c>
      <c r="K53" s="14">
        <f>Inputs!$C$8</f>
        <v>50</v>
      </c>
    </row>
    <row r="54" spans="1:11" x14ac:dyDescent="0.35">
      <c r="A54" s="10">
        <v>193</v>
      </c>
      <c r="B54" s="12">
        <f>(Inputs!$C$14*$A54^2+Inputs!$D$14*$A54*LOG($A54,2)+Inputs!$E$14*$A54+Inputs!$F$14)/Inputs!$C$5*1000000</f>
        <v>2640.9882352941177</v>
      </c>
      <c r="C54" s="12">
        <f>(Inputs!$C$15*$A54^2+Inputs!$D$15*$A54*LOG($A54,2)+Inputs!$E$15*$A54+Inputs!$F$15)/Inputs!$C$5*1000000</f>
        <v>356.43393133946813</v>
      </c>
      <c r="D54" s="12">
        <f>(Inputs!$C$16*$A54^2+Inputs!$D$16*$A54*LOG($A54,2)+Inputs!$E$16*$A54+Inputs!$F$16)/Inputs!$C$5*1000000</f>
        <v>7.9882352941176471</v>
      </c>
      <c r="E54" s="12">
        <f>(Inputs!$C$17*$A54^2+Inputs!$D$17*$A54*LOG($A54,2)+Inputs!$E$17*$A54+Inputs!$F$17)/Inputs!$C$5*1000000</f>
        <v>22.747058823529411</v>
      </c>
      <c r="F54" s="12">
        <f>(Inputs!$C$18*$A54^2+Inputs!$D$18*$A54*LOG($A54,2)+Inputs!$E$18*$A54+Inputs!$F$18)/Inputs!$C$5*1000000</f>
        <v>4.7058823529411757</v>
      </c>
      <c r="G54" s="12">
        <f>(Inputs!$C$19*$A54^2+Inputs!$D$19*$A54*LOG($A54,2)+Inputs!$E$19*$A54+Inputs!$F$19)/Inputs!$C$5*1000000</f>
        <v>5.7058823529411766</v>
      </c>
      <c r="H54" s="12">
        <f>(Inputs!$C$20*$A54^2+Inputs!$D$20*$A54*LOG($A54,2)+Inputs!$E$20*$A54+Inputs!$F$20)/Inputs!$C$5*1000000</f>
        <v>1.2941176470588234</v>
      </c>
      <c r="I54" s="13">
        <f>1/(4*$A54*Inputs!$C$6)*1000000</f>
        <v>25.906735751295336</v>
      </c>
      <c r="J54" s="14">
        <f>Inputs!$C$7</f>
        <v>100</v>
      </c>
      <c r="K54" s="14">
        <f>Inputs!$C$8</f>
        <v>50</v>
      </c>
    </row>
    <row r="55" spans="1:11" x14ac:dyDescent="0.35">
      <c r="A55" s="10">
        <v>207</v>
      </c>
      <c r="B55" s="12">
        <f>(Inputs!$C$14*$A55^2+Inputs!$D$14*$A55*LOG($A55,2)+Inputs!$E$14*$A55+Inputs!$F$14)/Inputs!$C$5*1000000</f>
        <v>3037.1058823529411</v>
      </c>
      <c r="C55" s="12">
        <f>(Inputs!$C$15*$A55^2+Inputs!$D$15*$A55*LOG($A55,2)+Inputs!$E$15*$A55+Inputs!$F$15)/Inputs!$C$5*1000000</f>
        <v>387.18865887114362</v>
      </c>
      <c r="D55" s="12">
        <f>(Inputs!$C$16*$A55^2+Inputs!$D$16*$A55*LOG($A55,2)+Inputs!$E$16*$A55+Inputs!$F$16)/Inputs!$C$5*1000000</f>
        <v>8.4823529411764707</v>
      </c>
      <c r="E55" s="12">
        <f>(Inputs!$C$17*$A55^2+Inputs!$D$17*$A55*LOG($A55,2)+Inputs!$E$17*$A55+Inputs!$F$17)/Inputs!$C$5*1000000</f>
        <v>24.31176470588235</v>
      </c>
      <c r="F55" s="12">
        <f>(Inputs!$C$18*$A55^2+Inputs!$D$18*$A55*LOG($A55,2)+Inputs!$E$18*$A55+Inputs!$F$18)/Inputs!$C$5*1000000</f>
        <v>4.7058823529411757</v>
      </c>
      <c r="G55" s="12">
        <f>(Inputs!$C$19*$A55^2+Inputs!$D$19*$A55*LOG($A55,2)+Inputs!$E$19*$A55+Inputs!$F$19)/Inputs!$C$5*1000000</f>
        <v>5.7058823529411766</v>
      </c>
      <c r="H55" s="12">
        <f>(Inputs!$C$20*$A55^2+Inputs!$D$20*$A55*LOG($A55,2)+Inputs!$E$20*$A55+Inputs!$F$20)/Inputs!$C$5*1000000</f>
        <v>1.2941176470588234</v>
      </c>
      <c r="I55" s="13">
        <f>1/(4*$A55*Inputs!$C$6)*1000000</f>
        <v>24.154589371980677</v>
      </c>
      <c r="J55" s="14">
        <f>Inputs!$C$7</f>
        <v>100</v>
      </c>
      <c r="K55" s="14">
        <f>Inputs!$C$8</f>
        <v>50</v>
      </c>
    </row>
    <row r="56" spans="1:11" x14ac:dyDescent="0.35">
      <c r="A56" s="10">
        <v>222</v>
      </c>
      <c r="B56" s="12">
        <f>(Inputs!$C$14*$A56^2+Inputs!$D$14*$A56*LOG($A56,2)+Inputs!$E$14*$A56+Inputs!$F$14)/Inputs!$C$5*1000000</f>
        <v>3492.223529411765</v>
      </c>
      <c r="C56" s="12">
        <f>(Inputs!$C$15*$A56^2+Inputs!$D$15*$A56*LOG($A56,2)+Inputs!$E$15*$A56+Inputs!$F$15)/Inputs!$C$5*1000000</f>
        <v>420.49654643052321</v>
      </c>
      <c r="D56" s="12">
        <f>(Inputs!$C$16*$A56^2+Inputs!$D$16*$A56*LOG($A56,2)+Inputs!$E$16*$A56+Inputs!$F$16)/Inputs!$C$5*1000000</f>
        <v>9.0117647058823529</v>
      </c>
      <c r="E56" s="12">
        <f>(Inputs!$C$17*$A56^2+Inputs!$D$17*$A56*LOG($A56,2)+Inputs!$E$17*$A56+Inputs!$F$17)/Inputs!$C$5*1000000</f>
        <v>25.988235294117647</v>
      </c>
      <c r="F56" s="12">
        <f>(Inputs!$C$18*$A56^2+Inputs!$D$18*$A56*LOG($A56,2)+Inputs!$E$18*$A56+Inputs!$F$18)/Inputs!$C$5*1000000</f>
        <v>4.7058823529411757</v>
      </c>
      <c r="G56" s="12">
        <f>(Inputs!$C$19*$A56^2+Inputs!$D$19*$A56*LOG($A56,2)+Inputs!$E$19*$A56+Inputs!$F$19)/Inputs!$C$5*1000000</f>
        <v>5.7058823529411766</v>
      </c>
      <c r="H56" s="12">
        <f>(Inputs!$C$20*$A56^2+Inputs!$D$20*$A56*LOG($A56,2)+Inputs!$E$20*$A56+Inputs!$F$20)/Inputs!$C$5*1000000</f>
        <v>1.2941176470588234</v>
      </c>
      <c r="I56" s="13">
        <f>1/(4*$A56*Inputs!$C$6)*1000000</f>
        <v>22.522522522522522</v>
      </c>
      <c r="J56" s="14">
        <f>Inputs!$C$7</f>
        <v>100</v>
      </c>
      <c r="K56" s="14">
        <f>Inputs!$C$8</f>
        <v>50</v>
      </c>
    </row>
    <row r="57" spans="1:11" x14ac:dyDescent="0.35">
      <c r="A57" s="10">
        <v>239</v>
      </c>
      <c r="B57" s="12">
        <f>(Inputs!$C$14*$A57^2+Inputs!$D$14*$A57*LOG($A57,2)+Inputs!$E$14*$A57+Inputs!$F$14)/Inputs!$C$5*1000000</f>
        <v>4046.4235294117648</v>
      </c>
      <c r="C57" s="12">
        <f>(Inputs!$C$15*$A57^2+Inputs!$D$15*$A57*LOG($A57,2)+Inputs!$E$15*$A57+Inputs!$F$15)/Inputs!$C$5*1000000</f>
        <v>458.66050990762329</v>
      </c>
      <c r="D57" s="12">
        <f>(Inputs!$C$16*$A57^2+Inputs!$D$16*$A57*LOG($A57,2)+Inputs!$E$16*$A57+Inputs!$F$16)/Inputs!$C$5*1000000</f>
        <v>9.6117647058823543</v>
      </c>
      <c r="E57" s="12">
        <f>(Inputs!$C$17*$A57^2+Inputs!$D$17*$A57*LOG($A57,2)+Inputs!$E$17*$A57+Inputs!$F$17)/Inputs!$C$5*1000000</f>
        <v>27.888235294117646</v>
      </c>
      <c r="F57" s="12">
        <f>(Inputs!$C$18*$A57^2+Inputs!$D$18*$A57*LOG($A57,2)+Inputs!$E$18*$A57+Inputs!$F$18)/Inputs!$C$5*1000000</f>
        <v>4.7058823529411757</v>
      </c>
      <c r="G57" s="12">
        <f>(Inputs!$C$19*$A57^2+Inputs!$D$19*$A57*LOG($A57,2)+Inputs!$E$19*$A57+Inputs!$F$19)/Inputs!$C$5*1000000</f>
        <v>5.7058823529411766</v>
      </c>
      <c r="H57" s="12">
        <f>(Inputs!$C$20*$A57^2+Inputs!$D$20*$A57*LOG($A57,2)+Inputs!$E$20*$A57+Inputs!$F$20)/Inputs!$C$5*1000000</f>
        <v>1.2941176470588234</v>
      </c>
      <c r="I57" s="13">
        <f>1/(4*$A57*Inputs!$C$6)*1000000</f>
        <v>20.92050209205021</v>
      </c>
      <c r="J57" s="14">
        <f>Inputs!$C$7</f>
        <v>100</v>
      </c>
      <c r="K57" s="14">
        <f>Inputs!$C$8</f>
        <v>50</v>
      </c>
    </row>
    <row r="58" spans="1:11" x14ac:dyDescent="0.35">
      <c r="A58" s="10">
        <v>256</v>
      </c>
      <c r="B58" s="12">
        <f>(Inputs!$C$14*$A58^2+Inputs!$D$14*$A58*LOG($A58,2)+Inputs!$E$14*$A58+Inputs!$F$14)/Inputs!$C$5*1000000</f>
        <v>4641.4235294117652</v>
      </c>
      <c r="C58" s="12">
        <f>(Inputs!$C$15*$A58^2+Inputs!$D$15*$A58*LOG($A58,2)+Inputs!$E$15*$A58+Inputs!$F$15)/Inputs!$C$5*1000000</f>
        <v>497.23529411764707</v>
      </c>
      <c r="D58" s="12">
        <f>(Inputs!$C$16*$A58^2+Inputs!$D$16*$A58*LOG($A58,2)+Inputs!$E$16*$A58+Inputs!$F$16)/Inputs!$C$5*1000000</f>
        <v>10.211764705882352</v>
      </c>
      <c r="E58" s="12">
        <f>(Inputs!$C$17*$A58^2+Inputs!$D$17*$A58*LOG($A58,2)+Inputs!$E$17*$A58+Inputs!$F$17)/Inputs!$C$5*1000000</f>
        <v>29.788235294117648</v>
      </c>
      <c r="F58" s="12">
        <f>(Inputs!$C$18*$A58^2+Inputs!$D$18*$A58*LOG($A58,2)+Inputs!$E$18*$A58+Inputs!$F$18)/Inputs!$C$5*1000000</f>
        <v>4.7058823529411757</v>
      </c>
      <c r="G58" s="12">
        <f>(Inputs!$C$19*$A58^2+Inputs!$D$19*$A58*LOG($A58,2)+Inputs!$E$19*$A58+Inputs!$F$19)/Inputs!$C$5*1000000</f>
        <v>5.7058823529411766</v>
      </c>
      <c r="H58" s="12">
        <f>(Inputs!$C$20*$A58^2+Inputs!$D$20*$A58*LOG($A58,2)+Inputs!$E$20*$A58+Inputs!$F$20)/Inputs!$C$5*1000000</f>
        <v>1.2941176470588234</v>
      </c>
      <c r="I58" s="13">
        <f>1/(4*$A58*Inputs!$C$6)*1000000</f>
        <v>19.53125</v>
      </c>
      <c r="J58" s="14">
        <f>Inputs!$C$7</f>
        <v>100</v>
      </c>
      <c r="K58" s="14">
        <f>Inputs!$C$8</f>
        <v>50</v>
      </c>
    </row>
    <row r="60" spans="1:11" x14ac:dyDescent="0.35">
      <c r="A60" s="2" t="s">
        <v>69</v>
      </c>
    </row>
    <row r="61" spans="1:11" ht="15" customHeight="1" x14ac:dyDescent="0.35">
      <c r="A61" s="1" t="s">
        <v>70</v>
      </c>
      <c r="B61" s="1"/>
      <c r="C61" s="1"/>
      <c r="D61" s="7">
        <f>INDEX($A$4:$A$58,SUMPRODUCT((B4:B58&lt;=J4:J58)*1))</f>
        <v>36</v>
      </c>
      <c r="E61" s="7" t="s">
        <v>71</v>
      </c>
    </row>
    <row r="62" spans="1:11" ht="15" customHeight="1" x14ac:dyDescent="0.35">
      <c r="A62" s="1" t="s">
        <v>72</v>
      </c>
      <c r="B62" s="1"/>
      <c r="C62" s="1"/>
      <c r="D62" s="7">
        <f>INDEX($A$4:$A$58,SUMPRODUCT((B4:B58&lt;=K4:K58)*1))</f>
        <v>25</v>
      </c>
      <c r="E62" s="7" t="s">
        <v>71</v>
      </c>
    </row>
    <row r="63" spans="1:11" ht="15" customHeight="1" x14ac:dyDescent="0.35">
      <c r="A63" s="1" t="s">
        <v>73</v>
      </c>
      <c r="B63" s="1"/>
      <c r="C63" s="1"/>
      <c r="D63" s="7">
        <f>INDEX($A$4:$A$58,SUMPRODUCT((C4:C58&lt;=J4:J58)*1))</f>
        <v>67</v>
      </c>
      <c r="E63" s="7" t="s">
        <v>71</v>
      </c>
    </row>
    <row r="64" spans="1:11" ht="15" customHeight="1" x14ac:dyDescent="0.35">
      <c r="A64" s="1" t="s">
        <v>74</v>
      </c>
      <c r="B64" s="1"/>
      <c r="C64" s="1"/>
      <c r="D64" s="7">
        <f>INDEX($A$4:$A$58,SUMPRODUCT((B4:B58&lt;=I4:I58)*1))</f>
        <v>41</v>
      </c>
      <c r="E64" s="7" t="s">
        <v>71</v>
      </c>
    </row>
    <row r="65" spans="1:5" ht="15" customHeight="1" x14ac:dyDescent="0.35">
      <c r="A65" s="1" t="s">
        <v>75</v>
      </c>
      <c r="B65" s="1"/>
      <c r="C65" s="1"/>
      <c r="D65" s="7">
        <f>INDEX($A$4:$A$58,SUMPRODUCT((C4:C58&lt;=I4:I58)*1))</f>
        <v>58</v>
      </c>
      <c r="E65" s="7" t="s">
        <v>71</v>
      </c>
    </row>
    <row r="66" spans="1:5" ht="15" customHeight="1" x14ac:dyDescent="0.35">
      <c r="A66" s="1" t="s">
        <v>76</v>
      </c>
      <c r="B66" s="1"/>
      <c r="C66" s="1"/>
      <c r="D66" s="7">
        <f>INDEX($A$4:$A$58,SUMPRODUCT((E4:E58&lt;=I4:I58)*1))</f>
        <v>193</v>
      </c>
      <c r="E66" s="7" t="s">
        <v>71</v>
      </c>
    </row>
  </sheetData>
  <mergeCells count="6">
    <mergeCell ref="A66:C66"/>
    <mergeCell ref="A61:C61"/>
    <mergeCell ref="A62:C62"/>
    <mergeCell ref="A63:C63"/>
    <mergeCell ref="A64:C64"/>
    <mergeCell ref="A65:C6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Figure</vt:lpstr>
      <vt:lpstr>Inputs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ZAID JABBAR</dc:creator>
  <dc:description/>
  <cp:lastModifiedBy>Zaid Jabbar</cp:lastModifiedBy>
  <cp:revision>1</cp:revision>
  <dcterms:created xsi:type="dcterms:W3CDTF">2026-08-20T10:34:58Z</dcterms:created>
  <dcterms:modified xsi:type="dcterms:W3CDTF">2026-09-03T16:04:07Z</dcterms:modified>
  <dc:language>en-US</dc:language>
</cp:coreProperties>
</file>